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mx excel\ChatGPT practice\"/>
    </mc:Choice>
  </mc:AlternateContent>
  <xr:revisionPtr revIDLastSave="0" documentId="13_ncr:1_{9BB7E994-EDDF-4E0F-9944-4661DFA35C15}" xr6:coauthVersionLast="47" xr6:coauthVersionMax="47" xr10:uidLastSave="{00000000-0000-0000-0000-000000000000}"/>
  <bookViews>
    <workbookView xWindow="1125" yWindow="1125" windowWidth="15375" windowHeight="7875" activeTab="1" xr2:uid="{00000000-000D-0000-FFFF-FFFF00000000}"/>
  </bookViews>
  <sheets>
    <sheet name="Data" sheetId="1" r:id="rId1"/>
    <sheet name="Questions-solutions" sheetId="2" r:id="rId2"/>
  </sheets>
  <definedNames>
    <definedName name="Slicer_Region1">#N/A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G19" i="2"/>
  <c r="E17" i="2"/>
  <c r="E16" i="2"/>
  <c r="E15" i="2"/>
  <c r="E14" i="2"/>
  <c r="E13" i="2"/>
  <c r="F12" i="2"/>
  <c r="E11" i="2"/>
  <c r="E10" i="2"/>
  <c r="E9" i="2"/>
  <c r="E8" i="2"/>
  <c r="E7" i="2"/>
  <c r="E6" i="2"/>
  <c r="E5" i="2"/>
  <c r="E4" i="2"/>
  <c r="E3" i="2"/>
  <c r="E2" i="2"/>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<sst xmlns="http://schemas.openxmlformats.org/spreadsheetml/2006/main" count="2048" uniqueCount="62">
  <si>
    <t>OrderID</t>
  </si>
  <si>
    <t>Date</t>
  </si>
  <si>
    <t>Region</t>
  </si>
  <si>
    <t>Salesperson</t>
  </si>
  <si>
    <t>Category</t>
  </si>
  <si>
    <t>Product</t>
  </si>
  <si>
    <t>Units</t>
  </si>
  <si>
    <t>UnitPrice</t>
  </si>
  <si>
    <t>Discount</t>
  </si>
  <si>
    <t>Revenue</t>
  </si>
  <si>
    <t>North</t>
  </si>
  <si>
    <t>Amit</t>
  </si>
  <si>
    <t>Electronics</t>
  </si>
  <si>
    <t>Laptop</t>
  </si>
  <si>
    <t>South</t>
  </si>
  <si>
    <t>Neha</t>
  </si>
  <si>
    <t>Furniture</t>
  </si>
  <si>
    <t>Desk</t>
  </si>
  <si>
    <t>East</t>
  </si>
  <si>
    <t>Ravi</t>
  </si>
  <si>
    <t>Office Supplies</t>
  </si>
  <si>
    <t>Marker</t>
  </si>
  <si>
    <t>West</t>
  </si>
  <si>
    <t>Pooja</t>
  </si>
  <si>
    <t>Monitor</t>
  </si>
  <si>
    <t>Karan</t>
  </si>
  <si>
    <t>Chair</t>
  </si>
  <si>
    <t>Sara</t>
  </si>
  <si>
    <t>Notebook</t>
  </si>
  <si>
    <t>Vikas</t>
  </si>
  <si>
    <t>Keyboard</t>
  </si>
  <si>
    <t>Anita</t>
  </si>
  <si>
    <t>Table</t>
  </si>
  <si>
    <t>Pen</t>
  </si>
  <si>
    <t>Mouse</t>
  </si>
  <si>
    <t>Cabinet</t>
  </si>
  <si>
    <t>File</t>
  </si>
  <si>
    <t>Excel Practice Questions (Basic to Advanced)</t>
  </si>
  <si>
    <t>1. Total Revenue</t>
  </si>
  <si>
    <t>2. Average Revenue</t>
  </si>
  <si>
    <t>3. Maximum Revenue</t>
  </si>
  <si>
    <t>4. Minimum Revenue</t>
  </si>
  <si>
    <t>5. Total Units Sold</t>
  </si>
  <si>
    <t>6. Count of Orders</t>
  </si>
  <si>
    <t>7. Total Revenue for North Region</t>
  </si>
  <si>
    <t>8. Average Unit Price</t>
  </si>
  <si>
    <t>9. Count Electronics Orders</t>
  </si>
  <si>
    <t>10. Highest Discount</t>
  </si>
  <si>
    <t>11. Revenue after filtering Furniture (use formula)</t>
  </si>
  <si>
    <t>12. Total Revenue by Amit</t>
  </si>
  <si>
    <t>13. Sum of Units where Region=West</t>
  </si>
  <si>
    <t>14. Average Revenue for Electronics</t>
  </si>
  <si>
    <t>15. Count Orders with Discount &gt; 10%</t>
  </si>
  <si>
    <t>16. Top 5 Revenue (LARGE)</t>
  </si>
  <si>
    <t>17. Rank each Revenue (create in Data sheet)</t>
  </si>
  <si>
    <t>18. Revenue using SUMPRODUCT (Units*Price*(1-Discount))</t>
  </si>
  <si>
    <t>19. Unique Regions (UNIQUE)</t>
  </si>
  <si>
    <t>20. Revenue Pivot Table (manual practice)</t>
  </si>
  <si>
    <t>Sum of Revenue</t>
  </si>
  <si>
    <t>Grand Total</t>
  </si>
  <si>
    <t>doesn't support unique formula</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</si>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</sst>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12</xdr:col>
      <xdr:colOff>0</xdr:colOff>
      <xdr:row>7</xdr:row>
      <xdr:rowOff>76200</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D90011BD-8DB2-4100-8049-C957EA1AA32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057900" y="0"/>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 refreshedDate="46219.422553009259" createdVersion="8" refreshedVersion="8" minRefreshableVersion="3" recordCount="500" xr:uid="{B24036C6-638F-4B15-ADBE-2C4FBA4052BA}">
  <cacheSource type="worksheet">
    <worksheetSource ref="A1:J501" sheet="Data"/>
  </cacheSource>
  <cacheFields count="10">
    <cacheField name="OrderID" numFmtId="0">
      <sharedItems containsSemiMixedTypes="0" containsString="0" containsNumber="1" containsInteger="1" minValue="1002" maxValue="1501"/>
    </cacheField>
    <cacheField name="Date" numFmtId="164">
      <sharedItems containsSemiMixedTypes="0" containsNonDate="0" containsDate="1" containsString="0" minDate="2025-01-01T00:00:00" maxDate="2026-01-01T00:00:00"/>
    </cacheField>
    <cacheField name="Region" numFmtId="0">
      <sharedItems count="4">
        <s v="North"/>
        <s v="South"/>
        <s v="East"/>
        <s v="West"/>
      </sharedItems>
    </cacheField>
    <cacheField name="Salesperson" numFmtId="0">
      <sharedItems/>
    </cacheField>
    <cacheField name="Category" numFmtId="0">
      <sharedItems/>
    </cacheField>
    <cacheField name="Product" numFmtId="0">
      <sharedItems count="12">
        <s v="Laptop"/>
        <s v="Desk"/>
        <s v="Marker"/>
        <s v="Monitor"/>
        <s v="Chair"/>
        <s v="Notebook"/>
        <s v="Keyboard"/>
        <s v="Table"/>
        <s v="Pen"/>
        <s v="Mouse"/>
        <s v="Cabinet"/>
        <s v="File"/>
      </sharedItems>
    </cacheField>
    <cacheField name="Units" numFmtId="0">
      <sharedItems containsSemiMixedTypes="0" containsString="0" containsNumber="1" containsInteger="1" minValue="1" maxValue="20"/>
    </cacheField>
    <cacheField name="UnitPrice" numFmtId="0">
      <sharedItems containsSemiMixedTypes="0" containsString="0" containsNumber="1" containsInteger="1" minValue="20" maxValue="50000"/>
    </cacheField>
    <cacheField name="Discount" numFmtId="0">
      <sharedItems containsSemiMixedTypes="0" containsString="0" containsNumber="1" minValue="0" maxValue="0.15"/>
    </cacheField>
    <cacheField name="Revenue" numFmtId="0">
      <sharedItems containsSemiMixedTypes="0" containsString="0" containsNumber="1" containsInteger="1" minValue="45" maxValue="950000"/>
    </cacheField>
  </cacheFields>
  <extLst>
    <ext xmlns:x14="http://schemas.microsoft.com/office/spreadsheetml/2009/9/main" uri="{725AE2AE-9491-48be-B2B4-4EB974FC3084}">
      <x14:pivotCacheDefinition pivotCacheId="1337582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2"/>
    <d v="2025-01-01T00:00:00"/>
    <x v="0"/>
    <s v="Amit"/>
    <s v="Electronics"/>
    <x v="0"/>
    <n v="7"/>
    <n v="50000"/>
    <n v="0"/>
    <n v="350000"/>
  </r>
  <r>
    <n v="1003"/>
    <d v="2025-01-02T00:00:00"/>
    <x v="1"/>
    <s v="Neha"/>
    <s v="Furniture"/>
    <x v="1"/>
    <n v="10"/>
    <n v="500"/>
    <n v="0.05"/>
    <n v="4750"/>
  </r>
  <r>
    <n v="1004"/>
    <d v="2025-01-03T00:00:00"/>
    <x v="2"/>
    <s v="Ravi"/>
    <s v="Office Supplies"/>
    <x v="2"/>
    <n v="13"/>
    <n v="1500"/>
    <n v="0.1"/>
    <n v="17550"/>
  </r>
  <r>
    <n v="1005"/>
    <d v="2025-01-04T00:00:00"/>
    <x v="3"/>
    <s v="Pooja"/>
    <s v="Electronics"/>
    <x v="3"/>
    <n v="16"/>
    <n v="12000"/>
    <n v="0.15"/>
    <n v="163200"/>
  </r>
  <r>
    <n v="1006"/>
    <d v="2025-01-05T00:00:00"/>
    <x v="0"/>
    <s v="Karan"/>
    <s v="Furniture"/>
    <x v="4"/>
    <n v="19"/>
    <n v="4000"/>
    <n v="0"/>
    <n v="76000"/>
  </r>
  <r>
    <n v="1007"/>
    <d v="2025-01-06T00:00:00"/>
    <x v="1"/>
    <s v="Sara"/>
    <s v="Office Supplies"/>
    <x v="5"/>
    <n v="2"/>
    <n v="8000"/>
    <n v="0.05"/>
    <n v="15200"/>
  </r>
  <r>
    <n v="1008"/>
    <d v="2025-01-07T00:00:00"/>
    <x v="2"/>
    <s v="Vikas"/>
    <s v="Electronics"/>
    <x v="6"/>
    <n v="5"/>
    <n v="10000"/>
    <n v="0.1"/>
    <n v="45000"/>
  </r>
  <r>
    <n v="1009"/>
    <d v="2025-01-08T00:00:00"/>
    <x v="3"/>
    <s v="Anita"/>
    <s v="Furniture"/>
    <x v="7"/>
    <n v="8"/>
    <n v="6000"/>
    <n v="0.15"/>
    <n v="40800"/>
  </r>
  <r>
    <n v="1010"/>
    <d v="2025-01-09T00:00:00"/>
    <x v="0"/>
    <s v="Amit"/>
    <s v="Office Supplies"/>
    <x v="8"/>
    <n v="11"/>
    <n v="20"/>
    <n v="0"/>
    <n v="220"/>
  </r>
  <r>
    <n v="1011"/>
    <d v="2025-01-10T00:00:00"/>
    <x v="1"/>
    <s v="Neha"/>
    <s v="Electronics"/>
    <x v="9"/>
    <n v="14"/>
    <n v="100"/>
    <n v="0.05"/>
    <n v="1330"/>
  </r>
  <r>
    <n v="1012"/>
    <d v="2025-01-11T00:00:00"/>
    <x v="2"/>
    <s v="Ravi"/>
    <s v="Furniture"/>
    <x v="10"/>
    <n v="17"/>
    <n v="50"/>
    <n v="0.1"/>
    <n v="765"/>
  </r>
  <r>
    <n v="1013"/>
    <d v="2025-01-12T00:00:00"/>
    <x v="3"/>
    <s v="Pooja"/>
    <s v="Office Supplies"/>
    <x v="11"/>
    <n v="20"/>
    <n v="30"/>
    <n v="0.15"/>
    <n v="510"/>
  </r>
  <r>
    <n v="1014"/>
    <d v="2025-01-13T00:00:00"/>
    <x v="0"/>
    <s v="Karan"/>
    <s v="Electronics"/>
    <x v="0"/>
    <n v="3"/>
    <n v="50000"/>
    <n v="0"/>
    <n v="150000"/>
  </r>
  <r>
    <n v="1015"/>
    <d v="2025-01-14T00:00:00"/>
    <x v="1"/>
    <s v="Sara"/>
    <s v="Furniture"/>
    <x v="1"/>
    <n v="6"/>
    <n v="500"/>
    <n v="0.05"/>
    <n v="2850"/>
  </r>
  <r>
    <n v="1016"/>
    <d v="2025-01-15T00:00:00"/>
    <x v="2"/>
    <s v="Vikas"/>
    <s v="Office Supplies"/>
    <x v="2"/>
    <n v="9"/>
    <n v="1500"/>
    <n v="0.1"/>
    <n v="12150"/>
  </r>
  <r>
    <n v="1017"/>
    <d v="2025-01-16T00:00:00"/>
    <x v="3"/>
    <s v="Anita"/>
    <s v="Electronics"/>
    <x v="3"/>
    <n v="12"/>
    <n v="12000"/>
    <n v="0.15"/>
    <n v="122400"/>
  </r>
  <r>
    <n v="1018"/>
    <d v="2025-01-17T00:00:00"/>
    <x v="0"/>
    <s v="Amit"/>
    <s v="Furniture"/>
    <x v="4"/>
    <n v="15"/>
    <n v="4000"/>
    <n v="0"/>
    <n v="60000"/>
  </r>
  <r>
    <n v="1019"/>
    <d v="2025-01-18T00:00:00"/>
    <x v="1"/>
    <s v="Neha"/>
    <s v="Office Supplies"/>
    <x v="5"/>
    <n v="18"/>
    <n v="8000"/>
    <n v="0.05"/>
    <n v="136800"/>
  </r>
  <r>
    <n v="1020"/>
    <d v="2025-01-19T00:00:00"/>
    <x v="2"/>
    <s v="Ravi"/>
    <s v="Electronics"/>
    <x v="6"/>
    <n v="1"/>
    <n v="10000"/>
    <n v="0.1"/>
    <n v="9000"/>
  </r>
  <r>
    <n v="1021"/>
    <d v="2025-01-20T00:00:00"/>
    <x v="3"/>
    <s v="Pooja"/>
    <s v="Furniture"/>
    <x v="7"/>
    <n v="4"/>
    <n v="6000"/>
    <n v="0.15"/>
    <n v="20400"/>
  </r>
  <r>
    <n v="1022"/>
    <d v="2025-01-21T00:00:00"/>
    <x v="0"/>
    <s v="Karan"/>
    <s v="Office Supplies"/>
    <x v="8"/>
    <n v="7"/>
    <n v="20"/>
    <n v="0"/>
    <n v="140"/>
  </r>
  <r>
    <n v="1023"/>
    <d v="2025-01-22T00:00:00"/>
    <x v="1"/>
    <s v="Sara"/>
    <s v="Electronics"/>
    <x v="9"/>
    <n v="10"/>
    <n v="100"/>
    <n v="0.05"/>
    <n v="950"/>
  </r>
  <r>
    <n v="1024"/>
    <d v="2025-01-23T00:00:00"/>
    <x v="2"/>
    <s v="Vikas"/>
    <s v="Furniture"/>
    <x v="10"/>
    <n v="13"/>
    <n v="50"/>
    <n v="0.1"/>
    <n v="585"/>
  </r>
  <r>
    <n v="1025"/>
    <d v="2025-01-24T00:00:00"/>
    <x v="3"/>
    <s v="Anita"/>
    <s v="Office Supplies"/>
    <x v="11"/>
    <n v="16"/>
    <n v="30"/>
    <n v="0.15"/>
    <n v="408"/>
  </r>
  <r>
    <n v="1026"/>
    <d v="2025-01-25T00:00:00"/>
    <x v="0"/>
    <s v="Amit"/>
    <s v="Electronics"/>
    <x v="0"/>
    <n v="19"/>
    <n v="50000"/>
    <n v="0"/>
    <n v="950000"/>
  </r>
  <r>
    <n v="1027"/>
    <d v="2025-01-26T00:00:00"/>
    <x v="1"/>
    <s v="Neha"/>
    <s v="Furniture"/>
    <x v="1"/>
    <n v="2"/>
    <n v="500"/>
    <n v="0.05"/>
    <n v="950"/>
  </r>
  <r>
    <n v="1028"/>
    <d v="2025-01-27T00:00:00"/>
    <x v="2"/>
    <s v="Ravi"/>
    <s v="Office Supplies"/>
    <x v="2"/>
    <n v="5"/>
    <n v="1500"/>
    <n v="0.1"/>
    <n v="6750"/>
  </r>
  <r>
    <n v="1029"/>
    <d v="2025-01-28T00:00:00"/>
    <x v="3"/>
    <s v="Pooja"/>
    <s v="Electronics"/>
    <x v="3"/>
    <n v="8"/>
    <n v="12000"/>
    <n v="0.15"/>
    <n v="81600"/>
  </r>
  <r>
    <n v="1030"/>
    <d v="2025-01-29T00:00:00"/>
    <x v="0"/>
    <s v="Karan"/>
    <s v="Furniture"/>
    <x v="4"/>
    <n v="11"/>
    <n v="4000"/>
    <n v="0"/>
    <n v="44000"/>
  </r>
  <r>
    <n v="1031"/>
    <d v="2025-01-30T00:00:00"/>
    <x v="1"/>
    <s v="Sara"/>
    <s v="Office Supplies"/>
    <x v="5"/>
    <n v="14"/>
    <n v="8000"/>
    <n v="0.05"/>
    <n v="106400"/>
  </r>
  <r>
    <n v="1032"/>
    <d v="2025-01-31T00:00:00"/>
    <x v="2"/>
    <s v="Vikas"/>
    <s v="Electronics"/>
    <x v="6"/>
    <n v="17"/>
    <n v="10000"/>
    <n v="0.1"/>
    <n v="153000"/>
  </r>
  <r>
    <n v="1033"/>
    <d v="2025-02-01T00:00:00"/>
    <x v="3"/>
    <s v="Anita"/>
    <s v="Furniture"/>
    <x v="7"/>
    <n v="20"/>
    <n v="6000"/>
    <n v="0.15"/>
    <n v="102000"/>
  </r>
  <r>
    <n v="1034"/>
    <d v="2025-02-02T00:00:00"/>
    <x v="0"/>
    <s v="Amit"/>
    <s v="Office Supplies"/>
    <x v="8"/>
    <n v="3"/>
    <n v="20"/>
    <n v="0"/>
    <n v="60"/>
  </r>
  <r>
    <n v="1035"/>
    <d v="2025-02-03T00:00:00"/>
    <x v="1"/>
    <s v="Neha"/>
    <s v="Electronics"/>
    <x v="9"/>
    <n v="6"/>
    <n v="100"/>
    <n v="0.05"/>
    <n v="570"/>
  </r>
  <r>
    <n v="1036"/>
    <d v="2025-02-04T00:00:00"/>
    <x v="2"/>
    <s v="Ravi"/>
    <s v="Furniture"/>
    <x v="10"/>
    <n v="9"/>
    <n v="50"/>
    <n v="0.1"/>
    <n v="405"/>
  </r>
  <r>
    <n v="1037"/>
    <d v="2025-02-05T00:00:00"/>
    <x v="3"/>
    <s v="Pooja"/>
    <s v="Office Supplies"/>
    <x v="11"/>
    <n v="12"/>
    <n v="30"/>
    <n v="0.15"/>
    <n v="306"/>
  </r>
  <r>
    <n v="1038"/>
    <d v="2025-02-06T00:00:00"/>
    <x v="0"/>
    <s v="Karan"/>
    <s v="Electronics"/>
    <x v="0"/>
    <n v="15"/>
    <n v="50000"/>
    <n v="0"/>
    <n v="750000"/>
  </r>
  <r>
    <n v="1039"/>
    <d v="2025-02-07T00:00:00"/>
    <x v="1"/>
    <s v="Sara"/>
    <s v="Furniture"/>
    <x v="1"/>
    <n v="18"/>
    <n v="500"/>
    <n v="0.05"/>
    <n v="8550"/>
  </r>
  <r>
    <n v="1040"/>
    <d v="2025-02-08T00:00:00"/>
    <x v="2"/>
    <s v="Vikas"/>
    <s v="Office Supplies"/>
    <x v="2"/>
    <n v="1"/>
    <n v="1500"/>
    <n v="0.1"/>
    <n v="1350"/>
  </r>
  <r>
    <n v="1041"/>
    <d v="2025-02-09T00:00:00"/>
    <x v="3"/>
    <s v="Anita"/>
    <s v="Electronics"/>
    <x v="3"/>
    <n v="4"/>
    <n v="12000"/>
    <n v="0.15"/>
    <n v="40800"/>
  </r>
  <r>
    <n v="1042"/>
    <d v="2025-02-10T00:00:00"/>
    <x v="0"/>
    <s v="Amit"/>
    <s v="Furniture"/>
    <x v="4"/>
    <n v="7"/>
    <n v="4000"/>
    <n v="0"/>
    <n v="28000"/>
  </r>
  <r>
    <n v="1043"/>
    <d v="2025-02-11T00:00:00"/>
    <x v="1"/>
    <s v="Neha"/>
    <s v="Office Supplies"/>
    <x v="5"/>
    <n v="10"/>
    <n v="8000"/>
    <n v="0.05"/>
    <n v="76000"/>
  </r>
  <r>
    <n v="1044"/>
    <d v="2025-02-12T00:00:00"/>
    <x v="2"/>
    <s v="Ravi"/>
    <s v="Electronics"/>
    <x v="6"/>
    <n v="13"/>
    <n v="10000"/>
    <n v="0.1"/>
    <n v="117000"/>
  </r>
  <r>
    <n v="1045"/>
    <d v="2025-02-13T00:00:00"/>
    <x v="3"/>
    <s v="Pooja"/>
    <s v="Furniture"/>
    <x v="7"/>
    <n v="16"/>
    <n v="6000"/>
    <n v="0.15"/>
    <n v="81600"/>
  </r>
  <r>
    <n v="1046"/>
    <d v="2025-02-14T00:00:00"/>
    <x v="0"/>
    <s v="Karan"/>
    <s v="Office Supplies"/>
    <x v="8"/>
    <n v="19"/>
    <n v="20"/>
    <n v="0"/>
    <n v="380"/>
  </r>
  <r>
    <n v="1047"/>
    <d v="2025-02-15T00:00:00"/>
    <x v="1"/>
    <s v="Sara"/>
    <s v="Electronics"/>
    <x v="9"/>
    <n v="2"/>
    <n v="100"/>
    <n v="0.05"/>
    <n v="190"/>
  </r>
  <r>
    <n v="1048"/>
    <d v="2025-02-16T00:00:00"/>
    <x v="2"/>
    <s v="Vikas"/>
    <s v="Furniture"/>
    <x v="10"/>
    <n v="5"/>
    <n v="50"/>
    <n v="0.1"/>
    <n v="225"/>
  </r>
  <r>
    <n v="1049"/>
    <d v="2025-02-17T00:00:00"/>
    <x v="3"/>
    <s v="Anita"/>
    <s v="Office Supplies"/>
    <x v="11"/>
    <n v="8"/>
    <n v="30"/>
    <n v="0.15"/>
    <n v="204"/>
  </r>
  <r>
    <n v="1050"/>
    <d v="2025-02-18T00:00:00"/>
    <x v="0"/>
    <s v="Amit"/>
    <s v="Electronics"/>
    <x v="0"/>
    <n v="11"/>
    <n v="50000"/>
    <n v="0"/>
    <n v="550000"/>
  </r>
  <r>
    <n v="1051"/>
    <d v="2025-02-19T00:00:00"/>
    <x v="1"/>
    <s v="Neha"/>
    <s v="Furniture"/>
    <x v="1"/>
    <n v="14"/>
    <n v="500"/>
    <n v="0.05"/>
    <n v="6650"/>
  </r>
  <r>
    <n v="1052"/>
    <d v="2025-02-20T00:00:00"/>
    <x v="2"/>
    <s v="Ravi"/>
    <s v="Office Supplies"/>
    <x v="2"/>
    <n v="17"/>
    <n v="1500"/>
    <n v="0.1"/>
    <n v="22950"/>
  </r>
  <r>
    <n v="1053"/>
    <d v="2025-02-21T00:00:00"/>
    <x v="3"/>
    <s v="Pooja"/>
    <s v="Electronics"/>
    <x v="3"/>
    <n v="20"/>
    <n v="12000"/>
    <n v="0.15"/>
    <n v="204000"/>
  </r>
  <r>
    <n v="1054"/>
    <d v="2025-02-22T00:00:00"/>
    <x v="0"/>
    <s v="Karan"/>
    <s v="Furniture"/>
    <x v="4"/>
    <n v="3"/>
    <n v="4000"/>
    <n v="0"/>
    <n v="12000"/>
  </r>
  <r>
    <n v="1055"/>
    <d v="2025-02-23T00:00:00"/>
    <x v="1"/>
    <s v="Sara"/>
    <s v="Office Supplies"/>
    <x v="5"/>
    <n v="6"/>
    <n v="8000"/>
    <n v="0.05"/>
    <n v="45600"/>
  </r>
  <r>
    <n v="1056"/>
    <d v="2025-02-24T00:00:00"/>
    <x v="2"/>
    <s v="Vikas"/>
    <s v="Electronics"/>
    <x v="6"/>
    <n v="9"/>
    <n v="10000"/>
    <n v="0.1"/>
    <n v="81000"/>
  </r>
  <r>
    <n v="1057"/>
    <d v="2025-02-25T00:00:00"/>
    <x v="3"/>
    <s v="Anita"/>
    <s v="Furniture"/>
    <x v="7"/>
    <n v="12"/>
    <n v="6000"/>
    <n v="0.15"/>
    <n v="61200"/>
  </r>
  <r>
    <n v="1058"/>
    <d v="2025-02-26T00:00:00"/>
    <x v="0"/>
    <s v="Amit"/>
    <s v="Office Supplies"/>
    <x v="8"/>
    <n v="15"/>
    <n v="20"/>
    <n v="0"/>
    <n v="300"/>
  </r>
  <r>
    <n v="1059"/>
    <d v="2025-02-27T00:00:00"/>
    <x v="1"/>
    <s v="Neha"/>
    <s v="Electronics"/>
    <x v="9"/>
    <n v="18"/>
    <n v="100"/>
    <n v="0.05"/>
    <n v="1710"/>
  </r>
  <r>
    <n v="1060"/>
    <d v="2025-02-28T00:00:00"/>
    <x v="2"/>
    <s v="Ravi"/>
    <s v="Furniture"/>
    <x v="10"/>
    <n v="1"/>
    <n v="50"/>
    <n v="0.1"/>
    <n v="45"/>
  </r>
  <r>
    <n v="1061"/>
    <d v="2025-03-01T00:00:00"/>
    <x v="3"/>
    <s v="Pooja"/>
    <s v="Office Supplies"/>
    <x v="11"/>
    <n v="4"/>
    <n v="30"/>
    <n v="0.15"/>
    <n v="102"/>
  </r>
  <r>
    <n v="1062"/>
    <d v="2025-03-02T00:00:00"/>
    <x v="0"/>
    <s v="Karan"/>
    <s v="Electronics"/>
    <x v="0"/>
    <n v="7"/>
    <n v="50000"/>
    <n v="0"/>
    <n v="350000"/>
  </r>
  <r>
    <n v="1063"/>
    <d v="2025-03-03T00:00:00"/>
    <x v="1"/>
    <s v="Sara"/>
    <s v="Furniture"/>
    <x v="1"/>
    <n v="10"/>
    <n v="500"/>
    <n v="0.05"/>
    <n v="4750"/>
  </r>
  <r>
    <n v="1064"/>
    <d v="2025-03-04T00:00:00"/>
    <x v="2"/>
    <s v="Vikas"/>
    <s v="Office Supplies"/>
    <x v="2"/>
    <n v="13"/>
    <n v="1500"/>
    <n v="0.1"/>
    <n v="17550"/>
  </r>
  <r>
    <n v="1065"/>
    <d v="2025-03-05T00:00:00"/>
    <x v="3"/>
    <s v="Anita"/>
    <s v="Electronics"/>
    <x v="3"/>
    <n v="16"/>
    <n v="12000"/>
    <n v="0.15"/>
    <n v="163200"/>
  </r>
  <r>
    <n v="1066"/>
    <d v="2025-03-06T00:00:00"/>
    <x v="0"/>
    <s v="Amit"/>
    <s v="Furniture"/>
    <x v="4"/>
    <n v="19"/>
    <n v="4000"/>
    <n v="0"/>
    <n v="76000"/>
  </r>
  <r>
    <n v="1067"/>
    <d v="2025-03-07T00:00:00"/>
    <x v="1"/>
    <s v="Neha"/>
    <s v="Office Supplies"/>
    <x v="5"/>
    <n v="2"/>
    <n v="8000"/>
    <n v="0.05"/>
    <n v="15200"/>
  </r>
  <r>
    <n v="1068"/>
    <d v="2025-03-08T00:00:00"/>
    <x v="2"/>
    <s v="Ravi"/>
    <s v="Electronics"/>
    <x v="6"/>
    <n v="5"/>
    <n v="10000"/>
    <n v="0.1"/>
    <n v="45000"/>
  </r>
  <r>
    <n v="1069"/>
    <d v="2025-03-09T00:00:00"/>
    <x v="3"/>
    <s v="Pooja"/>
    <s v="Furniture"/>
    <x v="7"/>
    <n v="8"/>
    <n v="6000"/>
    <n v="0.15"/>
    <n v="40800"/>
  </r>
  <r>
    <n v="1070"/>
    <d v="2025-03-10T00:00:00"/>
    <x v="0"/>
    <s v="Karan"/>
    <s v="Office Supplies"/>
    <x v="8"/>
    <n v="11"/>
    <n v="20"/>
    <n v="0"/>
    <n v="220"/>
  </r>
  <r>
    <n v="1071"/>
    <d v="2025-03-11T00:00:00"/>
    <x v="1"/>
    <s v="Sara"/>
    <s v="Electronics"/>
    <x v="9"/>
    <n v="14"/>
    <n v="100"/>
    <n v="0.05"/>
    <n v="1330"/>
  </r>
  <r>
    <n v="1072"/>
    <d v="2025-03-12T00:00:00"/>
    <x v="2"/>
    <s v="Vikas"/>
    <s v="Furniture"/>
    <x v="10"/>
    <n v="17"/>
    <n v="50"/>
    <n v="0.1"/>
    <n v="765"/>
  </r>
  <r>
    <n v="1073"/>
    <d v="2025-03-13T00:00:00"/>
    <x v="3"/>
    <s v="Anita"/>
    <s v="Office Supplies"/>
    <x v="11"/>
    <n v="20"/>
    <n v="30"/>
    <n v="0.15"/>
    <n v="510"/>
  </r>
  <r>
    <n v="1074"/>
    <d v="2025-03-14T00:00:00"/>
    <x v="0"/>
    <s v="Amit"/>
    <s v="Electronics"/>
    <x v="0"/>
    <n v="3"/>
    <n v="50000"/>
    <n v="0"/>
    <n v="150000"/>
  </r>
  <r>
    <n v="1075"/>
    <d v="2025-03-15T00:00:00"/>
    <x v="1"/>
    <s v="Neha"/>
    <s v="Furniture"/>
    <x v="1"/>
    <n v="6"/>
    <n v="500"/>
    <n v="0.05"/>
    <n v="2850"/>
  </r>
  <r>
    <n v="1076"/>
    <d v="2025-03-16T00:00:00"/>
    <x v="2"/>
    <s v="Ravi"/>
    <s v="Office Supplies"/>
    <x v="2"/>
    <n v="9"/>
    <n v="1500"/>
    <n v="0.1"/>
    <n v="12150"/>
  </r>
  <r>
    <n v="1077"/>
    <d v="2025-03-17T00:00:00"/>
    <x v="3"/>
    <s v="Pooja"/>
    <s v="Electronics"/>
    <x v="3"/>
    <n v="12"/>
    <n v="12000"/>
    <n v="0.15"/>
    <n v="122400"/>
  </r>
  <r>
    <n v="1078"/>
    <d v="2025-03-18T00:00:00"/>
    <x v="0"/>
    <s v="Karan"/>
    <s v="Furniture"/>
    <x v="4"/>
    <n v="15"/>
    <n v="4000"/>
    <n v="0"/>
    <n v="60000"/>
  </r>
  <r>
    <n v="1079"/>
    <d v="2025-03-19T00:00:00"/>
    <x v="1"/>
    <s v="Sara"/>
    <s v="Office Supplies"/>
    <x v="5"/>
    <n v="18"/>
    <n v="8000"/>
    <n v="0.05"/>
    <n v="136800"/>
  </r>
  <r>
    <n v="1080"/>
    <d v="2025-03-20T00:00:00"/>
    <x v="2"/>
    <s v="Vikas"/>
    <s v="Electronics"/>
    <x v="6"/>
    <n v="1"/>
    <n v="10000"/>
    <n v="0.1"/>
    <n v="9000"/>
  </r>
  <r>
    <n v="1081"/>
    <d v="2025-03-21T00:00:00"/>
    <x v="3"/>
    <s v="Anita"/>
    <s v="Furniture"/>
    <x v="7"/>
    <n v="4"/>
    <n v="6000"/>
    <n v="0.15"/>
    <n v="20400"/>
  </r>
  <r>
    <n v="1082"/>
    <d v="2025-03-22T00:00:00"/>
    <x v="0"/>
    <s v="Amit"/>
    <s v="Office Supplies"/>
    <x v="8"/>
    <n v="7"/>
    <n v="20"/>
    <n v="0"/>
    <n v="140"/>
  </r>
  <r>
    <n v="1083"/>
    <d v="2025-03-23T00:00:00"/>
    <x v="1"/>
    <s v="Neha"/>
    <s v="Electronics"/>
    <x v="9"/>
    <n v="10"/>
    <n v="100"/>
    <n v="0.05"/>
    <n v="950"/>
  </r>
  <r>
    <n v="1084"/>
    <d v="2025-03-24T00:00:00"/>
    <x v="2"/>
    <s v="Ravi"/>
    <s v="Furniture"/>
    <x v="10"/>
    <n v="13"/>
    <n v="50"/>
    <n v="0.1"/>
    <n v="585"/>
  </r>
  <r>
    <n v="1085"/>
    <d v="2025-03-25T00:00:00"/>
    <x v="3"/>
    <s v="Pooja"/>
    <s v="Office Supplies"/>
    <x v="11"/>
    <n v="16"/>
    <n v="30"/>
    <n v="0.15"/>
    <n v="408"/>
  </r>
  <r>
    <n v="1086"/>
    <d v="2025-03-26T00:00:00"/>
    <x v="0"/>
    <s v="Karan"/>
    <s v="Electronics"/>
    <x v="0"/>
    <n v="19"/>
    <n v="50000"/>
    <n v="0"/>
    <n v="950000"/>
  </r>
  <r>
    <n v="1087"/>
    <d v="2025-03-27T00:00:00"/>
    <x v="1"/>
    <s v="Sara"/>
    <s v="Furniture"/>
    <x v="1"/>
    <n v="2"/>
    <n v="500"/>
    <n v="0.05"/>
    <n v="950"/>
  </r>
  <r>
    <n v="1088"/>
    <d v="2025-03-28T00:00:00"/>
    <x v="2"/>
    <s v="Vikas"/>
    <s v="Office Supplies"/>
    <x v="2"/>
    <n v="5"/>
    <n v="1500"/>
    <n v="0.1"/>
    <n v="6750"/>
  </r>
  <r>
    <n v="1089"/>
    <d v="2025-03-29T00:00:00"/>
    <x v="3"/>
    <s v="Anita"/>
    <s v="Electronics"/>
    <x v="3"/>
    <n v="8"/>
    <n v="12000"/>
    <n v="0.15"/>
    <n v="81600"/>
  </r>
  <r>
    <n v="1090"/>
    <d v="2025-03-30T00:00:00"/>
    <x v="0"/>
    <s v="Amit"/>
    <s v="Furniture"/>
    <x v="4"/>
    <n v="11"/>
    <n v="4000"/>
    <n v="0"/>
    <n v="44000"/>
  </r>
  <r>
    <n v="1091"/>
    <d v="2025-03-31T00:00:00"/>
    <x v="1"/>
    <s v="Neha"/>
    <s v="Office Supplies"/>
    <x v="5"/>
    <n v="14"/>
    <n v="8000"/>
    <n v="0.05"/>
    <n v="106400"/>
  </r>
  <r>
    <n v="1092"/>
    <d v="2025-04-01T00:00:00"/>
    <x v="2"/>
    <s v="Ravi"/>
    <s v="Electronics"/>
    <x v="6"/>
    <n v="17"/>
    <n v="10000"/>
    <n v="0.1"/>
    <n v="153000"/>
  </r>
  <r>
    <n v="1093"/>
    <d v="2025-04-02T00:00:00"/>
    <x v="3"/>
    <s v="Pooja"/>
    <s v="Furniture"/>
    <x v="7"/>
    <n v="20"/>
    <n v="6000"/>
    <n v="0.15"/>
    <n v="102000"/>
  </r>
  <r>
    <n v="1094"/>
    <d v="2025-04-03T00:00:00"/>
    <x v="0"/>
    <s v="Karan"/>
    <s v="Office Supplies"/>
    <x v="8"/>
    <n v="3"/>
    <n v="20"/>
    <n v="0"/>
    <n v="60"/>
  </r>
  <r>
    <n v="1095"/>
    <d v="2025-04-04T00:00:00"/>
    <x v="1"/>
    <s v="Sara"/>
    <s v="Electronics"/>
    <x v="9"/>
    <n v="6"/>
    <n v="100"/>
    <n v="0.05"/>
    <n v="570"/>
  </r>
  <r>
    <n v="1096"/>
    <d v="2025-04-05T00:00:00"/>
    <x v="2"/>
    <s v="Vikas"/>
    <s v="Furniture"/>
    <x v="10"/>
    <n v="9"/>
    <n v="50"/>
    <n v="0.1"/>
    <n v="405"/>
  </r>
  <r>
    <n v="1097"/>
    <d v="2025-04-06T00:00:00"/>
    <x v="3"/>
    <s v="Anita"/>
    <s v="Office Supplies"/>
    <x v="11"/>
    <n v="12"/>
    <n v="30"/>
    <n v="0.15"/>
    <n v="306"/>
  </r>
  <r>
    <n v="1098"/>
    <d v="2025-04-07T00:00:00"/>
    <x v="0"/>
    <s v="Amit"/>
    <s v="Electronics"/>
    <x v="0"/>
    <n v="15"/>
    <n v="50000"/>
    <n v="0"/>
    <n v="750000"/>
  </r>
  <r>
    <n v="1099"/>
    <d v="2025-04-08T00:00:00"/>
    <x v="1"/>
    <s v="Neha"/>
    <s v="Furniture"/>
    <x v="1"/>
    <n v="18"/>
    <n v="500"/>
    <n v="0.05"/>
    <n v="8550"/>
  </r>
  <r>
    <n v="1100"/>
    <d v="2025-04-09T00:00:00"/>
    <x v="2"/>
    <s v="Ravi"/>
    <s v="Office Supplies"/>
    <x v="2"/>
    <n v="1"/>
    <n v="1500"/>
    <n v="0.1"/>
    <n v="1350"/>
  </r>
  <r>
    <n v="1101"/>
    <d v="2025-04-10T00:00:00"/>
    <x v="3"/>
    <s v="Pooja"/>
    <s v="Electronics"/>
    <x v="3"/>
    <n v="4"/>
    <n v="12000"/>
    <n v="0.15"/>
    <n v="40800"/>
  </r>
  <r>
    <n v="1102"/>
    <d v="2025-04-11T00:00:00"/>
    <x v="0"/>
    <s v="Karan"/>
    <s v="Furniture"/>
    <x v="4"/>
    <n v="7"/>
    <n v="4000"/>
    <n v="0"/>
    <n v="28000"/>
  </r>
  <r>
    <n v="1103"/>
    <d v="2025-04-12T00:00:00"/>
    <x v="1"/>
    <s v="Sara"/>
    <s v="Office Supplies"/>
    <x v="5"/>
    <n v="10"/>
    <n v="8000"/>
    <n v="0.05"/>
    <n v="76000"/>
  </r>
  <r>
    <n v="1104"/>
    <d v="2025-04-13T00:00:00"/>
    <x v="2"/>
    <s v="Vikas"/>
    <s v="Electronics"/>
    <x v="6"/>
    <n v="13"/>
    <n v="10000"/>
    <n v="0.1"/>
    <n v="117000"/>
  </r>
  <r>
    <n v="1105"/>
    <d v="2025-04-14T00:00:00"/>
    <x v="3"/>
    <s v="Anita"/>
    <s v="Furniture"/>
    <x v="7"/>
    <n v="16"/>
    <n v="6000"/>
    <n v="0.15"/>
    <n v="81600"/>
  </r>
  <r>
    <n v="1106"/>
    <d v="2025-04-15T00:00:00"/>
    <x v="0"/>
    <s v="Amit"/>
    <s v="Office Supplies"/>
    <x v="8"/>
    <n v="19"/>
    <n v="20"/>
    <n v="0"/>
    <n v="380"/>
  </r>
  <r>
    <n v="1107"/>
    <d v="2025-04-16T00:00:00"/>
    <x v="1"/>
    <s v="Neha"/>
    <s v="Electronics"/>
    <x v="9"/>
    <n v="2"/>
    <n v="100"/>
    <n v="0.05"/>
    <n v="190"/>
  </r>
  <r>
    <n v="1108"/>
    <d v="2025-04-17T00:00:00"/>
    <x v="2"/>
    <s v="Ravi"/>
    <s v="Furniture"/>
    <x v="10"/>
    <n v="5"/>
    <n v="50"/>
    <n v="0.1"/>
    <n v="225"/>
  </r>
  <r>
    <n v="1109"/>
    <d v="2025-04-18T00:00:00"/>
    <x v="3"/>
    <s v="Pooja"/>
    <s v="Office Supplies"/>
    <x v="11"/>
    <n v="8"/>
    <n v="30"/>
    <n v="0.15"/>
    <n v="204"/>
  </r>
  <r>
    <n v="1110"/>
    <d v="2025-04-19T00:00:00"/>
    <x v="0"/>
    <s v="Karan"/>
    <s v="Electronics"/>
    <x v="0"/>
    <n v="11"/>
    <n v="50000"/>
    <n v="0"/>
    <n v="550000"/>
  </r>
  <r>
    <n v="1111"/>
    <d v="2025-04-20T00:00:00"/>
    <x v="1"/>
    <s v="Sara"/>
    <s v="Furniture"/>
    <x v="1"/>
    <n v="14"/>
    <n v="500"/>
    <n v="0.05"/>
    <n v="6650"/>
  </r>
  <r>
    <n v="1112"/>
    <d v="2025-04-21T00:00:00"/>
    <x v="2"/>
    <s v="Vikas"/>
    <s v="Office Supplies"/>
    <x v="2"/>
    <n v="17"/>
    <n v="1500"/>
    <n v="0.1"/>
    <n v="22950"/>
  </r>
  <r>
    <n v="1113"/>
    <d v="2025-04-22T00:00:00"/>
    <x v="3"/>
    <s v="Anita"/>
    <s v="Electronics"/>
    <x v="3"/>
    <n v="20"/>
    <n v="12000"/>
    <n v="0.15"/>
    <n v="204000"/>
  </r>
  <r>
    <n v="1114"/>
    <d v="2025-04-23T00:00:00"/>
    <x v="0"/>
    <s v="Amit"/>
    <s v="Furniture"/>
    <x v="4"/>
    <n v="3"/>
    <n v="4000"/>
    <n v="0"/>
    <n v="12000"/>
  </r>
  <r>
    <n v="1115"/>
    <d v="2025-04-24T00:00:00"/>
    <x v="1"/>
    <s v="Neha"/>
    <s v="Office Supplies"/>
    <x v="5"/>
    <n v="6"/>
    <n v="8000"/>
    <n v="0.05"/>
    <n v="45600"/>
  </r>
  <r>
    <n v="1116"/>
    <d v="2025-04-25T00:00:00"/>
    <x v="2"/>
    <s v="Ravi"/>
    <s v="Electronics"/>
    <x v="6"/>
    <n v="9"/>
    <n v="10000"/>
    <n v="0.1"/>
    <n v="81000"/>
  </r>
  <r>
    <n v="1117"/>
    <d v="2025-04-26T00:00:00"/>
    <x v="3"/>
    <s v="Pooja"/>
    <s v="Furniture"/>
    <x v="7"/>
    <n v="12"/>
    <n v="6000"/>
    <n v="0.15"/>
    <n v="61200"/>
  </r>
  <r>
    <n v="1118"/>
    <d v="2025-04-27T00:00:00"/>
    <x v="0"/>
    <s v="Karan"/>
    <s v="Office Supplies"/>
    <x v="8"/>
    <n v="15"/>
    <n v="20"/>
    <n v="0"/>
    <n v="300"/>
  </r>
  <r>
    <n v="1119"/>
    <d v="2025-04-28T00:00:00"/>
    <x v="1"/>
    <s v="Sara"/>
    <s v="Electronics"/>
    <x v="9"/>
    <n v="18"/>
    <n v="100"/>
    <n v="0.05"/>
    <n v="1710"/>
  </r>
  <r>
    <n v="1120"/>
    <d v="2025-04-29T00:00:00"/>
    <x v="2"/>
    <s v="Vikas"/>
    <s v="Furniture"/>
    <x v="10"/>
    <n v="1"/>
    <n v="50"/>
    <n v="0.1"/>
    <n v="45"/>
  </r>
  <r>
    <n v="1121"/>
    <d v="2025-04-30T00:00:00"/>
    <x v="3"/>
    <s v="Anita"/>
    <s v="Office Supplies"/>
    <x v="11"/>
    <n v="4"/>
    <n v="30"/>
    <n v="0.15"/>
    <n v="102"/>
  </r>
  <r>
    <n v="1122"/>
    <d v="2025-05-01T00:00:00"/>
    <x v="0"/>
    <s v="Amit"/>
    <s v="Electronics"/>
    <x v="0"/>
    <n v="7"/>
    <n v="50000"/>
    <n v="0"/>
    <n v="350000"/>
  </r>
  <r>
    <n v="1123"/>
    <d v="2025-05-02T00:00:00"/>
    <x v="1"/>
    <s v="Neha"/>
    <s v="Furniture"/>
    <x v="1"/>
    <n v="10"/>
    <n v="500"/>
    <n v="0.05"/>
    <n v="4750"/>
  </r>
  <r>
    <n v="1124"/>
    <d v="2025-05-03T00:00:00"/>
    <x v="2"/>
    <s v="Ravi"/>
    <s v="Office Supplies"/>
    <x v="2"/>
    <n v="13"/>
    <n v="1500"/>
    <n v="0.1"/>
    <n v="17550"/>
  </r>
  <r>
    <n v="1125"/>
    <d v="2025-05-04T00:00:00"/>
    <x v="3"/>
    <s v="Pooja"/>
    <s v="Electronics"/>
    <x v="3"/>
    <n v="16"/>
    <n v="12000"/>
    <n v="0.15"/>
    <n v="163200"/>
  </r>
  <r>
    <n v="1126"/>
    <d v="2025-05-05T00:00:00"/>
    <x v="0"/>
    <s v="Karan"/>
    <s v="Furniture"/>
    <x v="4"/>
    <n v="19"/>
    <n v="4000"/>
    <n v="0"/>
    <n v="76000"/>
  </r>
  <r>
    <n v="1127"/>
    <d v="2025-05-06T00:00:00"/>
    <x v="1"/>
    <s v="Sara"/>
    <s v="Office Supplies"/>
    <x v="5"/>
    <n v="2"/>
    <n v="8000"/>
    <n v="0.05"/>
    <n v="15200"/>
  </r>
  <r>
    <n v="1128"/>
    <d v="2025-05-07T00:00:00"/>
    <x v="2"/>
    <s v="Vikas"/>
    <s v="Electronics"/>
    <x v="6"/>
    <n v="5"/>
    <n v="10000"/>
    <n v="0.1"/>
    <n v="45000"/>
  </r>
  <r>
    <n v="1129"/>
    <d v="2025-05-08T00:00:00"/>
    <x v="3"/>
    <s v="Anita"/>
    <s v="Furniture"/>
    <x v="7"/>
    <n v="8"/>
    <n v="6000"/>
    <n v="0.15"/>
    <n v="40800"/>
  </r>
  <r>
    <n v="1130"/>
    <d v="2025-05-09T00:00:00"/>
    <x v="0"/>
    <s v="Amit"/>
    <s v="Office Supplies"/>
    <x v="8"/>
    <n v="11"/>
    <n v="20"/>
    <n v="0"/>
    <n v="220"/>
  </r>
  <r>
    <n v="1131"/>
    <d v="2025-05-10T00:00:00"/>
    <x v="1"/>
    <s v="Neha"/>
    <s v="Electronics"/>
    <x v="9"/>
    <n v="14"/>
    <n v="100"/>
    <n v="0.05"/>
    <n v="1330"/>
  </r>
  <r>
    <n v="1132"/>
    <d v="2025-05-11T00:00:00"/>
    <x v="2"/>
    <s v="Ravi"/>
    <s v="Furniture"/>
    <x v="10"/>
    <n v="17"/>
    <n v="50"/>
    <n v="0.1"/>
    <n v="765"/>
  </r>
  <r>
    <n v="1133"/>
    <d v="2025-05-12T00:00:00"/>
    <x v="3"/>
    <s v="Pooja"/>
    <s v="Office Supplies"/>
    <x v="11"/>
    <n v="20"/>
    <n v="30"/>
    <n v="0.15"/>
    <n v="510"/>
  </r>
  <r>
    <n v="1134"/>
    <d v="2025-05-13T00:00:00"/>
    <x v="0"/>
    <s v="Karan"/>
    <s v="Electronics"/>
    <x v="0"/>
    <n v="3"/>
    <n v="50000"/>
    <n v="0"/>
    <n v="150000"/>
  </r>
  <r>
    <n v="1135"/>
    <d v="2025-05-14T00:00:00"/>
    <x v="1"/>
    <s v="Sara"/>
    <s v="Furniture"/>
    <x v="1"/>
    <n v="6"/>
    <n v="500"/>
    <n v="0.05"/>
    <n v="2850"/>
  </r>
  <r>
    <n v="1136"/>
    <d v="2025-05-15T00:00:00"/>
    <x v="2"/>
    <s v="Vikas"/>
    <s v="Office Supplies"/>
    <x v="2"/>
    <n v="9"/>
    <n v="1500"/>
    <n v="0.1"/>
    <n v="12150"/>
  </r>
  <r>
    <n v="1137"/>
    <d v="2025-05-16T00:00:00"/>
    <x v="3"/>
    <s v="Anita"/>
    <s v="Electronics"/>
    <x v="3"/>
    <n v="12"/>
    <n v="12000"/>
    <n v="0.15"/>
    <n v="122400"/>
  </r>
  <r>
    <n v="1138"/>
    <d v="2025-05-17T00:00:00"/>
    <x v="0"/>
    <s v="Amit"/>
    <s v="Furniture"/>
    <x v="4"/>
    <n v="15"/>
    <n v="4000"/>
    <n v="0"/>
    <n v="60000"/>
  </r>
  <r>
    <n v="1139"/>
    <d v="2025-05-18T00:00:00"/>
    <x v="1"/>
    <s v="Neha"/>
    <s v="Office Supplies"/>
    <x v="5"/>
    <n v="18"/>
    <n v="8000"/>
    <n v="0.05"/>
    <n v="136800"/>
  </r>
  <r>
    <n v="1140"/>
    <d v="2025-05-19T00:00:00"/>
    <x v="2"/>
    <s v="Ravi"/>
    <s v="Electronics"/>
    <x v="6"/>
    <n v="1"/>
    <n v="10000"/>
    <n v="0.1"/>
    <n v="9000"/>
  </r>
  <r>
    <n v="1141"/>
    <d v="2025-05-20T00:00:00"/>
    <x v="3"/>
    <s v="Pooja"/>
    <s v="Furniture"/>
    <x v="7"/>
    <n v="4"/>
    <n v="6000"/>
    <n v="0.15"/>
    <n v="20400"/>
  </r>
  <r>
    <n v="1142"/>
    <d v="2025-05-21T00:00:00"/>
    <x v="0"/>
    <s v="Karan"/>
    <s v="Office Supplies"/>
    <x v="8"/>
    <n v="7"/>
    <n v="20"/>
    <n v="0"/>
    <n v="140"/>
  </r>
  <r>
    <n v="1143"/>
    <d v="2025-05-22T00:00:00"/>
    <x v="1"/>
    <s v="Sara"/>
    <s v="Electronics"/>
    <x v="9"/>
    <n v="10"/>
    <n v="100"/>
    <n v="0.05"/>
    <n v="950"/>
  </r>
  <r>
    <n v="1144"/>
    <d v="2025-05-23T00:00:00"/>
    <x v="2"/>
    <s v="Vikas"/>
    <s v="Furniture"/>
    <x v="10"/>
    <n v="13"/>
    <n v="50"/>
    <n v="0.1"/>
    <n v="585"/>
  </r>
  <r>
    <n v="1145"/>
    <d v="2025-05-24T00:00:00"/>
    <x v="3"/>
    <s v="Anita"/>
    <s v="Office Supplies"/>
    <x v="11"/>
    <n v="16"/>
    <n v="30"/>
    <n v="0.15"/>
    <n v="408"/>
  </r>
  <r>
    <n v="1146"/>
    <d v="2025-05-25T00:00:00"/>
    <x v="0"/>
    <s v="Amit"/>
    <s v="Electronics"/>
    <x v="0"/>
    <n v="19"/>
    <n v="50000"/>
    <n v="0"/>
    <n v="950000"/>
  </r>
  <r>
    <n v="1147"/>
    <d v="2025-05-26T00:00:00"/>
    <x v="1"/>
    <s v="Neha"/>
    <s v="Furniture"/>
    <x v="1"/>
    <n v="2"/>
    <n v="500"/>
    <n v="0.05"/>
    <n v="950"/>
  </r>
  <r>
    <n v="1148"/>
    <d v="2025-05-27T00:00:00"/>
    <x v="2"/>
    <s v="Ravi"/>
    <s v="Office Supplies"/>
    <x v="2"/>
    <n v="5"/>
    <n v="1500"/>
    <n v="0.1"/>
    <n v="6750"/>
  </r>
  <r>
    <n v="1149"/>
    <d v="2025-05-28T00:00:00"/>
    <x v="3"/>
    <s v="Pooja"/>
    <s v="Electronics"/>
    <x v="3"/>
    <n v="8"/>
    <n v="12000"/>
    <n v="0.15"/>
    <n v="81600"/>
  </r>
  <r>
    <n v="1150"/>
    <d v="2025-05-29T00:00:00"/>
    <x v="0"/>
    <s v="Karan"/>
    <s v="Furniture"/>
    <x v="4"/>
    <n v="11"/>
    <n v="4000"/>
    <n v="0"/>
    <n v="44000"/>
  </r>
  <r>
    <n v="1151"/>
    <d v="2025-05-30T00:00:00"/>
    <x v="1"/>
    <s v="Sara"/>
    <s v="Office Supplies"/>
    <x v="5"/>
    <n v="14"/>
    <n v="8000"/>
    <n v="0.05"/>
    <n v="106400"/>
  </r>
  <r>
    <n v="1152"/>
    <d v="2025-05-31T00:00:00"/>
    <x v="2"/>
    <s v="Vikas"/>
    <s v="Electronics"/>
    <x v="6"/>
    <n v="17"/>
    <n v="10000"/>
    <n v="0.1"/>
    <n v="153000"/>
  </r>
  <r>
    <n v="1153"/>
    <d v="2025-06-01T00:00:00"/>
    <x v="3"/>
    <s v="Anita"/>
    <s v="Furniture"/>
    <x v="7"/>
    <n v="20"/>
    <n v="6000"/>
    <n v="0.15"/>
    <n v="102000"/>
  </r>
  <r>
    <n v="1154"/>
    <d v="2025-06-02T00:00:00"/>
    <x v="0"/>
    <s v="Amit"/>
    <s v="Office Supplies"/>
    <x v="8"/>
    <n v="3"/>
    <n v="20"/>
    <n v="0"/>
    <n v="60"/>
  </r>
  <r>
    <n v="1155"/>
    <d v="2025-06-03T00:00:00"/>
    <x v="1"/>
    <s v="Neha"/>
    <s v="Electronics"/>
    <x v="9"/>
    <n v="6"/>
    <n v="100"/>
    <n v="0.05"/>
    <n v="570"/>
  </r>
  <r>
    <n v="1156"/>
    <d v="2025-06-04T00:00:00"/>
    <x v="2"/>
    <s v="Ravi"/>
    <s v="Furniture"/>
    <x v="10"/>
    <n v="9"/>
    <n v="50"/>
    <n v="0.1"/>
    <n v="405"/>
  </r>
  <r>
    <n v="1157"/>
    <d v="2025-06-05T00:00:00"/>
    <x v="3"/>
    <s v="Pooja"/>
    <s v="Office Supplies"/>
    <x v="11"/>
    <n v="12"/>
    <n v="30"/>
    <n v="0.15"/>
    <n v="306"/>
  </r>
  <r>
    <n v="1158"/>
    <d v="2025-06-06T00:00:00"/>
    <x v="0"/>
    <s v="Karan"/>
    <s v="Electronics"/>
    <x v="0"/>
    <n v="15"/>
    <n v="50000"/>
    <n v="0"/>
    <n v="750000"/>
  </r>
  <r>
    <n v="1159"/>
    <d v="2025-06-07T00:00:00"/>
    <x v="1"/>
    <s v="Sara"/>
    <s v="Furniture"/>
    <x v="1"/>
    <n v="18"/>
    <n v="500"/>
    <n v="0.05"/>
    <n v="8550"/>
  </r>
  <r>
    <n v="1160"/>
    <d v="2025-06-08T00:00:00"/>
    <x v="2"/>
    <s v="Vikas"/>
    <s v="Office Supplies"/>
    <x v="2"/>
    <n v="1"/>
    <n v="1500"/>
    <n v="0.1"/>
    <n v="1350"/>
  </r>
  <r>
    <n v="1161"/>
    <d v="2025-06-09T00:00:00"/>
    <x v="3"/>
    <s v="Anita"/>
    <s v="Electronics"/>
    <x v="3"/>
    <n v="4"/>
    <n v="12000"/>
    <n v="0.15"/>
    <n v="40800"/>
  </r>
  <r>
    <n v="1162"/>
    <d v="2025-06-10T00:00:00"/>
    <x v="0"/>
    <s v="Amit"/>
    <s v="Furniture"/>
    <x v="4"/>
    <n v="7"/>
    <n v="4000"/>
    <n v="0"/>
    <n v="28000"/>
  </r>
  <r>
    <n v="1163"/>
    <d v="2025-06-11T00:00:00"/>
    <x v="1"/>
    <s v="Neha"/>
    <s v="Office Supplies"/>
    <x v="5"/>
    <n v="10"/>
    <n v="8000"/>
    <n v="0.05"/>
    <n v="76000"/>
  </r>
  <r>
    <n v="1164"/>
    <d v="2025-06-12T00:00:00"/>
    <x v="2"/>
    <s v="Ravi"/>
    <s v="Electronics"/>
    <x v="6"/>
    <n v="13"/>
    <n v="10000"/>
    <n v="0.1"/>
    <n v="117000"/>
  </r>
  <r>
    <n v="1165"/>
    <d v="2025-06-13T00:00:00"/>
    <x v="3"/>
    <s v="Pooja"/>
    <s v="Furniture"/>
    <x v="7"/>
    <n v="16"/>
    <n v="6000"/>
    <n v="0.15"/>
    <n v="81600"/>
  </r>
  <r>
    <n v="1166"/>
    <d v="2025-06-14T00:00:00"/>
    <x v="0"/>
    <s v="Karan"/>
    <s v="Office Supplies"/>
    <x v="8"/>
    <n v="19"/>
    <n v="20"/>
    <n v="0"/>
    <n v="380"/>
  </r>
  <r>
    <n v="1167"/>
    <d v="2025-06-15T00:00:00"/>
    <x v="1"/>
    <s v="Sara"/>
    <s v="Electronics"/>
    <x v="9"/>
    <n v="2"/>
    <n v="100"/>
    <n v="0.05"/>
    <n v="190"/>
  </r>
  <r>
    <n v="1168"/>
    <d v="2025-06-16T00:00:00"/>
    <x v="2"/>
    <s v="Vikas"/>
    <s v="Furniture"/>
    <x v="10"/>
    <n v="5"/>
    <n v="50"/>
    <n v="0.1"/>
    <n v="225"/>
  </r>
  <r>
    <n v="1169"/>
    <d v="2025-06-17T00:00:00"/>
    <x v="3"/>
    <s v="Anita"/>
    <s v="Office Supplies"/>
    <x v="11"/>
    <n v="8"/>
    <n v="30"/>
    <n v="0.15"/>
    <n v="204"/>
  </r>
  <r>
    <n v="1170"/>
    <d v="2025-06-18T00:00:00"/>
    <x v="0"/>
    <s v="Amit"/>
    <s v="Electronics"/>
    <x v="0"/>
    <n v="11"/>
    <n v="50000"/>
    <n v="0"/>
    <n v="550000"/>
  </r>
  <r>
    <n v="1171"/>
    <d v="2025-06-19T00:00:00"/>
    <x v="1"/>
    <s v="Neha"/>
    <s v="Furniture"/>
    <x v="1"/>
    <n v="14"/>
    <n v="500"/>
    <n v="0.05"/>
    <n v="6650"/>
  </r>
  <r>
    <n v="1172"/>
    <d v="2025-06-20T00:00:00"/>
    <x v="2"/>
    <s v="Ravi"/>
    <s v="Office Supplies"/>
    <x v="2"/>
    <n v="17"/>
    <n v="1500"/>
    <n v="0.1"/>
    <n v="22950"/>
  </r>
  <r>
    <n v="1173"/>
    <d v="2025-06-21T00:00:00"/>
    <x v="3"/>
    <s v="Pooja"/>
    <s v="Electronics"/>
    <x v="3"/>
    <n v="20"/>
    <n v="12000"/>
    <n v="0.15"/>
    <n v="204000"/>
  </r>
  <r>
    <n v="1174"/>
    <d v="2025-06-22T00:00:00"/>
    <x v="0"/>
    <s v="Karan"/>
    <s v="Furniture"/>
    <x v="4"/>
    <n v="3"/>
    <n v="4000"/>
    <n v="0"/>
    <n v="12000"/>
  </r>
  <r>
    <n v="1175"/>
    <d v="2025-06-23T00:00:00"/>
    <x v="1"/>
    <s v="Sara"/>
    <s v="Office Supplies"/>
    <x v="5"/>
    <n v="6"/>
    <n v="8000"/>
    <n v="0.05"/>
    <n v="45600"/>
  </r>
  <r>
    <n v="1176"/>
    <d v="2025-06-24T00:00:00"/>
    <x v="2"/>
    <s v="Vikas"/>
    <s v="Electronics"/>
    <x v="6"/>
    <n v="9"/>
    <n v="10000"/>
    <n v="0.1"/>
    <n v="81000"/>
  </r>
  <r>
    <n v="1177"/>
    <d v="2025-06-25T00:00:00"/>
    <x v="3"/>
    <s v="Anita"/>
    <s v="Furniture"/>
    <x v="7"/>
    <n v="12"/>
    <n v="6000"/>
    <n v="0.15"/>
    <n v="61200"/>
  </r>
  <r>
    <n v="1178"/>
    <d v="2025-06-26T00:00:00"/>
    <x v="0"/>
    <s v="Amit"/>
    <s v="Office Supplies"/>
    <x v="8"/>
    <n v="15"/>
    <n v="20"/>
    <n v="0"/>
    <n v="300"/>
  </r>
  <r>
    <n v="1179"/>
    <d v="2025-06-27T00:00:00"/>
    <x v="1"/>
    <s v="Neha"/>
    <s v="Electronics"/>
    <x v="9"/>
    <n v="18"/>
    <n v="100"/>
    <n v="0.05"/>
    <n v="1710"/>
  </r>
  <r>
    <n v="1180"/>
    <d v="2025-06-28T00:00:00"/>
    <x v="2"/>
    <s v="Ravi"/>
    <s v="Furniture"/>
    <x v="10"/>
    <n v="1"/>
    <n v="50"/>
    <n v="0.1"/>
    <n v="45"/>
  </r>
  <r>
    <n v="1181"/>
    <d v="2025-06-29T00:00:00"/>
    <x v="3"/>
    <s v="Pooja"/>
    <s v="Office Supplies"/>
    <x v="11"/>
    <n v="4"/>
    <n v="30"/>
    <n v="0.15"/>
    <n v="102"/>
  </r>
  <r>
    <n v="1182"/>
    <d v="2025-06-30T00:00:00"/>
    <x v="0"/>
    <s v="Karan"/>
    <s v="Electronics"/>
    <x v="0"/>
    <n v="7"/>
    <n v="50000"/>
    <n v="0"/>
    <n v="350000"/>
  </r>
  <r>
    <n v="1183"/>
    <d v="2025-07-01T00:00:00"/>
    <x v="1"/>
    <s v="Sara"/>
    <s v="Furniture"/>
    <x v="1"/>
    <n v="10"/>
    <n v="500"/>
    <n v="0.05"/>
    <n v="4750"/>
  </r>
  <r>
    <n v="1184"/>
    <d v="2025-07-02T00:00:00"/>
    <x v="2"/>
    <s v="Vikas"/>
    <s v="Office Supplies"/>
    <x v="2"/>
    <n v="13"/>
    <n v="1500"/>
    <n v="0.1"/>
    <n v="17550"/>
  </r>
  <r>
    <n v="1185"/>
    <d v="2025-07-03T00:00:00"/>
    <x v="3"/>
    <s v="Anita"/>
    <s v="Electronics"/>
    <x v="3"/>
    <n v="16"/>
    <n v="12000"/>
    <n v="0.15"/>
    <n v="163200"/>
  </r>
  <r>
    <n v="1186"/>
    <d v="2025-07-04T00:00:00"/>
    <x v="0"/>
    <s v="Amit"/>
    <s v="Furniture"/>
    <x v="4"/>
    <n v="19"/>
    <n v="4000"/>
    <n v="0"/>
    <n v="76000"/>
  </r>
  <r>
    <n v="1187"/>
    <d v="2025-07-05T00:00:00"/>
    <x v="1"/>
    <s v="Neha"/>
    <s v="Office Supplies"/>
    <x v="5"/>
    <n v="2"/>
    <n v="8000"/>
    <n v="0.05"/>
    <n v="15200"/>
  </r>
  <r>
    <n v="1188"/>
    <d v="2025-07-06T00:00:00"/>
    <x v="2"/>
    <s v="Ravi"/>
    <s v="Electronics"/>
    <x v="6"/>
    <n v="5"/>
    <n v="10000"/>
    <n v="0.1"/>
    <n v="45000"/>
  </r>
  <r>
    <n v="1189"/>
    <d v="2025-07-07T00:00:00"/>
    <x v="3"/>
    <s v="Pooja"/>
    <s v="Furniture"/>
    <x v="7"/>
    <n v="8"/>
    <n v="6000"/>
    <n v="0.15"/>
    <n v="40800"/>
  </r>
  <r>
    <n v="1190"/>
    <d v="2025-07-08T00:00:00"/>
    <x v="0"/>
    <s v="Karan"/>
    <s v="Office Supplies"/>
    <x v="8"/>
    <n v="11"/>
    <n v="20"/>
    <n v="0"/>
    <n v="220"/>
  </r>
  <r>
    <n v="1191"/>
    <d v="2025-07-09T00:00:00"/>
    <x v="1"/>
    <s v="Sara"/>
    <s v="Electronics"/>
    <x v="9"/>
    <n v="14"/>
    <n v="100"/>
    <n v="0.05"/>
    <n v="1330"/>
  </r>
  <r>
    <n v="1192"/>
    <d v="2025-07-10T00:00:00"/>
    <x v="2"/>
    <s v="Vikas"/>
    <s v="Furniture"/>
    <x v="10"/>
    <n v="17"/>
    <n v="50"/>
    <n v="0.1"/>
    <n v="765"/>
  </r>
  <r>
    <n v="1193"/>
    <d v="2025-07-11T00:00:00"/>
    <x v="3"/>
    <s v="Anita"/>
    <s v="Office Supplies"/>
    <x v="11"/>
    <n v="20"/>
    <n v="30"/>
    <n v="0.15"/>
    <n v="510"/>
  </r>
  <r>
    <n v="1194"/>
    <d v="2025-07-12T00:00:00"/>
    <x v="0"/>
    <s v="Amit"/>
    <s v="Electronics"/>
    <x v="0"/>
    <n v="3"/>
    <n v="50000"/>
    <n v="0"/>
    <n v="150000"/>
  </r>
  <r>
    <n v="1195"/>
    <d v="2025-07-13T00:00:00"/>
    <x v="1"/>
    <s v="Neha"/>
    <s v="Furniture"/>
    <x v="1"/>
    <n v="6"/>
    <n v="500"/>
    <n v="0.05"/>
    <n v="2850"/>
  </r>
  <r>
    <n v="1196"/>
    <d v="2025-07-14T00:00:00"/>
    <x v="2"/>
    <s v="Ravi"/>
    <s v="Office Supplies"/>
    <x v="2"/>
    <n v="9"/>
    <n v="1500"/>
    <n v="0.1"/>
    <n v="12150"/>
  </r>
  <r>
    <n v="1197"/>
    <d v="2025-07-15T00:00:00"/>
    <x v="3"/>
    <s v="Pooja"/>
    <s v="Electronics"/>
    <x v="3"/>
    <n v="12"/>
    <n v="12000"/>
    <n v="0.15"/>
    <n v="122400"/>
  </r>
  <r>
    <n v="1198"/>
    <d v="2025-07-16T00:00:00"/>
    <x v="0"/>
    <s v="Karan"/>
    <s v="Furniture"/>
    <x v="4"/>
    <n v="15"/>
    <n v="4000"/>
    <n v="0"/>
    <n v="60000"/>
  </r>
  <r>
    <n v="1199"/>
    <d v="2025-07-17T00:00:00"/>
    <x v="1"/>
    <s v="Sara"/>
    <s v="Office Supplies"/>
    <x v="5"/>
    <n v="18"/>
    <n v="8000"/>
    <n v="0.05"/>
    <n v="136800"/>
  </r>
  <r>
    <n v="1200"/>
    <d v="2025-07-18T00:00:00"/>
    <x v="2"/>
    <s v="Vikas"/>
    <s v="Electronics"/>
    <x v="6"/>
    <n v="1"/>
    <n v="10000"/>
    <n v="0.1"/>
    <n v="9000"/>
  </r>
  <r>
    <n v="1201"/>
    <d v="2025-07-19T00:00:00"/>
    <x v="3"/>
    <s v="Anita"/>
    <s v="Furniture"/>
    <x v="7"/>
    <n v="4"/>
    <n v="6000"/>
    <n v="0.15"/>
    <n v="20400"/>
  </r>
  <r>
    <n v="1202"/>
    <d v="2025-07-20T00:00:00"/>
    <x v="0"/>
    <s v="Amit"/>
    <s v="Office Supplies"/>
    <x v="8"/>
    <n v="7"/>
    <n v="20"/>
    <n v="0"/>
    <n v="140"/>
  </r>
  <r>
    <n v="1203"/>
    <d v="2025-07-21T00:00:00"/>
    <x v="1"/>
    <s v="Neha"/>
    <s v="Electronics"/>
    <x v="9"/>
    <n v="10"/>
    <n v="100"/>
    <n v="0.05"/>
    <n v="950"/>
  </r>
  <r>
    <n v="1204"/>
    <d v="2025-07-22T00:00:00"/>
    <x v="2"/>
    <s v="Ravi"/>
    <s v="Furniture"/>
    <x v="10"/>
    <n v="13"/>
    <n v="50"/>
    <n v="0.1"/>
    <n v="585"/>
  </r>
  <r>
    <n v="1205"/>
    <d v="2025-07-23T00:00:00"/>
    <x v="3"/>
    <s v="Pooja"/>
    <s v="Office Supplies"/>
    <x v="11"/>
    <n v="16"/>
    <n v="30"/>
    <n v="0.15"/>
    <n v="408"/>
  </r>
  <r>
    <n v="1206"/>
    <d v="2025-07-24T00:00:00"/>
    <x v="0"/>
    <s v="Karan"/>
    <s v="Electronics"/>
    <x v="0"/>
    <n v="19"/>
    <n v="50000"/>
    <n v="0"/>
    <n v="950000"/>
  </r>
  <r>
    <n v="1207"/>
    <d v="2025-07-25T00:00:00"/>
    <x v="1"/>
    <s v="Sara"/>
    <s v="Furniture"/>
    <x v="1"/>
    <n v="2"/>
    <n v="500"/>
    <n v="0.05"/>
    <n v="950"/>
  </r>
  <r>
    <n v="1208"/>
    <d v="2025-07-26T00:00:00"/>
    <x v="2"/>
    <s v="Vikas"/>
    <s v="Office Supplies"/>
    <x v="2"/>
    <n v="5"/>
    <n v="1500"/>
    <n v="0.1"/>
    <n v="6750"/>
  </r>
  <r>
    <n v="1209"/>
    <d v="2025-07-27T00:00:00"/>
    <x v="3"/>
    <s v="Anita"/>
    <s v="Electronics"/>
    <x v="3"/>
    <n v="8"/>
    <n v="12000"/>
    <n v="0.15"/>
    <n v="81600"/>
  </r>
  <r>
    <n v="1210"/>
    <d v="2025-07-28T00:00:00"/>
    <x v="0"/>
    <s v="Amit"/>
    <s v="Furniture"/>
    <x v="4"/>
    <n v="11"/>
    <n v="4000"/>
    <n v="0"/>
    <n v="44000"/>
  </r>
  <r>
    <n v="1211"/>
    <d v="2025-07-29T00:00:00"/>
    <x v="1"/>
    <s v="Neha"/>
    <s v="Office Supplies"/>
    <x v="5"/>
    <n v="14"/>
    <n v="8000"/>
    <n v="0.05"/>
    <n v="106400"/>
  </r>
  <r>
    <n v="1212"/>
    <d v="2025-07-30T00:00:00"/>
    <x v="2"/>
    <s v="Ravi"/>
    <s v="Electronics"/>
    <x v="6"/>
    <n v="17"/>
    <n v="10000"/>
    <n v="0.1"/>
    <n v="153000"/>
  </r>
  <r>
    <n v="1213"/>
    <d v="2025-07-31T00:00:00"/>
    <x v="3"/>
    <s v="Pooja"/>
    <s v="Furniture"/>
    <x v="7"/>
    <n v="20"/>
    <n v="6000"/>
    <n v="0.15"/>
    <n v="102000"/>
  </r>
  <r>
    <n v="1214"/>
    <d v="2025-08-01T00:00:00"/>
    <x v="0"/>
    <s v="Karan"/>
    <s v="Office Supplies"/>
    <x v="8"/>
    <n v="3"/>
    <n v="20"/>
    <n v="0"/>
    <n v="60"/>
  </r>
  <r>
    <n v="1215"/>
    <d v="2025-08-02T00:00:00"/>
    <x v="1"/>
    <s v="Sara"/>
    <s v="Electronics"/>
    <x v="9"/>
    <n v="6"/>
    <n v="100"/>
    <n v="0.05"/>
    <n v="570"/>
  </r>
  <r>
    <n v="1216"/>
    <d v="2025-08-03T00:00:00"/>
    <x v="2"/>
    <s v="Vikas"/>
    <s v="Furniture"/>
    <x v="10"/>
    <n v="9"/>
    <n v="50"/>
    <n v="0.1"/>
    <n v="405"/>
  </r>
  <r>
    <n v="1217"/>
    <d v="2025-08-04T00:00:00"/>
    <x v="3"/>
    <s v="Anita"/>
    <s v="Office Supplies"/>
    <x v="11"/>
    <n v="12"/>
    <n v="30"/>
    <n v="0.15"/>
    <n v="306"/>
  </r>
  <r>
    <n v="1218"/>
    <d v="2025-08-05T00:00:00"/>
    <x v="0"/>
    <s v="Amit"/>
    <s v="Electronics"/>
    <x v="0"/>
    <n v="15"/>
    <n v="50000"/>
    <n v="0"/>
    <n v="750000"/>
  </r>
  <r>
    <n v="1219"/>
    <d v="2025-08-06T00:00:00"/>
    <x v="1"/>
    <s v="Neha"/>
    <s v="Furniture"/>
    <x v="1"/>
    <n v="18"/>
    <n v="500"/>
    <n v="0.05"/>
    <n v="8550"/>
  </r>
  <r>
    <n v="1220"/>
    <d v="2025-08-07T00:00:00"/>
    <x v="2"/>
    <s v="Ravi"/>
    <s v="Office Supplies"/>
    <x v="2"/>
    <n v="1"/>
    <n v="1500"/>
    <n v="0.1"/>
    <n v="1350"/>
  </r>
  <r>
    <n v="1221"/>
    <d v="2025-08-08T00:00:00"/>
    <x v="3"/>
    <s v="Pooja"/>
    <s v="Electronics"/>
    <x v="3"/>
    <n v="4"/>
    <n v="12000"/>
    <n v="0.15"/>
    <n v="40800"/>
  </r>
  <r>
    <n v="1222"/>
    <d v="2025-08-09T00:00:00"/>
    <x v="0"/>
    <s v="Karan"/>
    <s v="Furniture"/>
    <x v="4"/>
    <n v="7"/>
    <n v="4000"/>
    <n v="0"/>
    <n v="28000"/>
  </r>
  <r>
    <n v="1223"/>
    <d v="2025-08-10T00:00:00"/>
    <x v="1"/>
    <s v="Sara"/>
    <s v="Office Supplies"/>
    <x v="5"/>
    <n v="10"/>
    <n v="8000"/>
    <n v="0.05"/>
    <n v="76000"/>
  </r>
  <r>
    <n v="1224"/>
    <d v="2025-08-11T00:00:00"/>
    <x v="2"/>
    <s v="Vikas"/>
    <s v="Electronics"/>
    <x v="6"/>
    <n v="13"/>
    <n v="10000"/>
    <n v="0.1"/>
    <n v="117000"/>
  </r>
  <r>
    <n v="1225"/>
    <d v="2025-08-12T00:00:00"/>
    <x v="3"/>
    <s v="Anita"/>
    <s v="Furniture"/>
    <x v="7"/>
    <n v="16"/>
    <n v="6000"/>
    <n v="0.15"/>
    <n v="81600"/>
  </r>
  <r>
    <n v="1226"/>
    <d v="2025-08-13T00:00:00"/>
    <x v="0"/>
    <s v="Amit"/>
    <s v="Office Supplies"/>
    <x v="8"/>
    <n v="19"/>
    <n v="20"/>
    <n v="0"/>
    <n v="380"/>
  </r>
  <r>
    <n v="1227"/>
    <d v="2025-08-14T00:00:00"/>
    <x v="1"/>
    <s v="Neha"/>
    <s v="Electronics"/>
    <x v="9"/>
    <n v="2"/>
    <n v="100"/>
    <n v="0.05"/>
    <n v="190"/>
  </r>
  <r>
    <n v="1228"/>
    <d v="2025-08-15T00:00:00"/>
    <x v="2"/>
    <s v="Ravi"/>
    <s v="Furniture"/>
    <x v="10"/>
    <n v="5"/>
    <n v="50"/>
    <n v="0.1"/>
    <n v="225"/>
  </r>
  <r>
    <n v="1229"/>
    <d v="2025-08-16T00:00:00"/>
    <x v="3"/>
    <s v="Pooja"/>
    <s v="Office Supplies"/>
    <x v="11"/>
    <n v="8"/>
    <n v="30"/>
    <n v="0.15"/>
    <n v="204"/>
  </r>
  <r>
    <n v="1230"/>
    <d v="2025-08-17T00:00:00"/>
    <x v="0"/>
    <s v="Karan"/>
    <s v="Electronics"/>
    <x v="0"/>
    <n v="11"/>
    <n v="50000"/>
    <n v="0"/>
    <n v="550000"/>
  </r>
  <r>
    <n v="1231"/>
    <d v="2025-08-18T00:00:00"/>
    <x v="1"/>
    <s v="Sara"/>
    <s v="Furniture"/>
    <x v="1"/>
    <n v="14"/>
    <n v="500"/>
    <n v="0.05"/>
    <n v="6650"/>
  </r>
  <r>
    <n v="1232"/>
    <d v="2025-08-19T00:00:00"/>
    <x v="2"/>
    <s v="Vikas"/>
    <s v="Office Supplies"/>
    <x v="2"/>
    <n v="17"/>
    <n v="1500"/>
    <n v="0.1"/>
    <n v="22950"/>
  </r>
  <r>
    <n v="1233"/>
    <d v="2025-08-20T00:00:00"/>
    <x v="3"/>
    <s v="Anita"/>
    <s v="Electronics"/>
    <x v="3"/>
    <n v="20"/>
    <n v="12000"/>
    <n v="0.15"/>
    <n v="204000"/>
  </r>
  <r>
    <n v="1234"/>
    <d v="2025-08-21T00:00:00"/>
    <x v="0"/>
    <s v="Amit"/>
    <s v="Furniture"/>
    <x v="4"/>
    <n v="3"/>
    <n v="4000"/>
    <n v="0"/>
    <n v="12000"/>
  </r>
  <r>
    <n v="1235"/>
    <d v="2025-08-22T00:00:00"/>
    <x v="1"/>
    <s v="Neha"/>
    <s v="Office Supplies"/>
    <x v="5"/>
    <n v="6"/>
    <n v="8000"/>
    <n v="0.05"/>
    <n v="45600"/>
  </r>
  <r>
    <n v="1236"/>
    <d v="2025-08-23T00:00:00"/>
    <x v="2"/>
    <s v="Ravi"/>
    <s v="Electronics"/>
    <x v="6"/>
    <n v="9"/>
    <n v="10000"/>
    <n v="0.1"/>
    <n v="81000"/>
  </r>
  <r>
    <n v="1237"/>
    <d v="2025-08-24T00:00:00"/>
    <x v="3"/>
    <s v="Pooja"/>
    <s v="Furniture"/>
    <x v="7"/>
    <n v="12"/>
    <n v="6000"/>
    <n v="0.15"/>
    <n v="61200"/>
  </r>
  <r>
    <n v="1238"/>
    <d v="2025-08-25T00:00:00"/>
    <x v="0"/>
    <s v="Karan"/>
    <s v="Office Supplies"/>
    <x v="8"/>
    <n v="15"/>
    <n v="20"/>
    <n v="0"/>
    <n v="300"/>
  </r>
  <r>
    <n v="1239"/>
    <d v="2025-08-26T00:00:00"/>
    <x v="1"/>
    <s v="Sara"/>
    <s v="Electronics"/>
    <x v="9"/>
    <n v="18"/>
    <n v="100"/>
    <n v="0.05"/>
    <n v="1710"/>
  </r>
  <r>
    <n v="1240"/>
    <d v="2025-08-27T00:00:00"/>
    <x v="2"/>
    <s v="Vikas"/>
    <s v="Furniture"/>
    <x v="10"/>
    <n v="1"/>
    <n v="50"/>
    <n v="0.1"/>
    <n v="45"/>
  </r>
  <r>
    <n v="1241"/>
    <d v="2025-08-28T00:00:00"/>
    <x v="3"/>
    <s v="Anita"/>
    <s v="Office Supplies"/>
    <x v="11"/>
    <n v="4"/>
    <n v="30"/>
    <n v="0.15"/>
    <n v="102"/>
  </r>
  <r>
    <n v="1242"/>
    <d v="2025-08-29T00:00:00"/>
    <x v="0"/>
    <s v="Amit"/>
    <s v="Electronics"/>
    <x v="0"/>
    <n v="7"/>
    <n v="50000"/>
    <n v="0"/>
    <n v="350000"/>
  </r>
  <r>
    <n v="1243"/>
    <d v="2025-08-30T00:00:00"/>
    <x v="1"/>
    <s v="Neha"/>
    <s v="Furniture"/>
    <x v="1"/>
    <n v="10"/>
    <n v="500"/>
    <n v="0.05"/>
    <n v="4750"/>
  </r>
  <r>
    <n v="1244"/>
    <d v="2025-08-31T00:00:00"/>
    <x v="2"/>
    <s v="Ravi"/>
    <s v="Office Supplies"/>
    <x v="2"/>
    <n v="13"/>
    <n v="1500"/>
    <n v="0.1"/>
    <n v="17550"/>
  </r>
  <r>
    <n v="1245"/>
    <d v="2025-09-01T00:00:00"/>
    <x v="3"/>
    <s v="Pooja"/>
    <s v="Electronics"/>
    <x v="3"/>
    <n v="16"/>
    <n v="12000"/>
    <n v="0.15"/>
    <n v="163200"/>
  </r>
  <r>
    <n v="1246"/>
    <d v="2025-09-02T00:00:00"/>
    <x v="0"/>
    <s v="Karan"/>
    <s v="Furniture"/>
    <x v="4"/>
    <n v="19"/>
    <n v="4000"/>
    <n v="0"/>
    <n v="76000"/>
  </r>
  <r>
    <n v="1247"/>
    <d v="2025-09-03T00:00:00"/>
    <x v="1"/>
    <s v="Sara"/>
    <s v="Office Supplies"/>
    <x v="5"/>
    <n v="2"/>
    <n v="8000"/>
    <n v="0.05"/>
    <n v="15200"/>
  </r>
  <r>
    <n v="1248"/>
    <d v="2025-09-04T00:00:00"/>
    <x v="2"/>
    <s v="Vikas"/>
    <s v="Electronics"/>
    <x v="6"/>
    <n v="5"/>
    <n v="10000"/>
    <n v="0.1"/>
    <n v="45000"/>
  </r>
  <r>
    <n v="1249"/>
    <d v="2025-09-05T00:00:00"/>
    <x v="3"/>
    <s v="Anita"/>
    <s v="Furniture"/>
    <x v="7"/>
    <n v="8"/>
    <n v="6000"/>
    <n v="0.15"/>
    <n v="40800"/>
  </r>
  <r>
    <n v="1250"/>
    <d v="2025-09-06T00:00:00"/>
    <x v="0"/>
    <s v="Amit"/>
    <s v="Office Supplies"/>
    <x v="8"/>
    <n v="11"/>
    <n v="20"/>
    <n v="0"/>
    <n v="220"/>
  </r>
  <r>
    <n v="1251"/>
    <d v="2025-09-07T00:00:00"/>
    <x v="1"/>
    <s v="Neha"/>
    <s v="Electronics"/>
    <x v="9"/>
    <n v="14"/>
    <n v="100"/>
    <n v="0.05"/>
    <n v="1330"/>
  </r>
  <r>
    <n v="1252"/>
    <d v="2025-09-08T00:00:00"/>
    <x v="2"/>
    <s v="Ravi"/>
    <s v="Furniture"/>
    <x v="10"/>
    <n v="17"/>
    <n v="50"/>
    <n v="0.1"/>
    <n v="765"/>
  </r>
  <r>
    <n v="1253"/>
    <d v="2025-09-09T00:00:00"/>
    <x v="3"/>
    <s v="Pooja"/>
    <s v="Office Supplies"/>
    <x v="11"/>
    <n v="20"/>
    <n v="30"/>
    <n v="0.15"/>
    <n v="510"/>
  </r>
  <r>
    <n v="1254"/>
    <d v="2025-09-10T00:00:00"/>
    <x v="0"/>
    <s v="Karan"/>
    <s v="Electronics"/>
    <x v="0"/>
    <n v="3"/>
    <n v="50000"/>
    <n v="0"/>
    <n v="150000"/>
  </r>
  <r>
    <n v="1255"/>
    <d v="2025-09-11T00:00:00"/>
    <x v="1"/>
    <s v="Sara"/>
    <s v="Furniture"/>
    <x v="1"/>
    <n v="6"/>
    <n v="500"/>
    <n v="0.05"/>
    <n v="2850"/>
  </r>
  <r>
    <n v="1256"/>
    <d v="2025-09-12T00:00:00"/>
    <x v="2"/>
    <s v="Vikas"/>
    <s v="Office Supplies"/>
    <x v="2"/>
    <n v="9"/>
    <n v="1500"/>
    <n v="0.1"/>
    <n v="12150"/>
  </r>
  <r>
    <n v="1257"/>
    <d v="2025-09-13T00:00:00"/>
    <x v="3"/>
    <s v="Anita"/>
    <s v="Electronics"/>
    <x v="3"/>
    <n v="12"/>
    <n v="12000"/>
    <n v="0.15"/>
    <n v="122400"/>
  </r>
  <r>
    <n v="1258"/>
    <d v="2025-09-14T00:00:00"/>
    <x v="0"/>
    <s v="Amit"/>
    <s v="Furniture"/>
    <x v="4"/>
    <n v="15"/>
    <n v="4000"/>
    <n v="0"/>
    <n v="60000"/>
  </r>
  <r>
    <n v="1259"/>
    <d v="2025-09-15T00:00:00"/>
    <x v="1"/>
    <s v="Neha"/>
    <s v="Office Supplies"/>
    <x v="5"/>
    <n v="18"/>
    <n v="8000"/>
    <n v="0.05"/>
    <n v="136800"/>
  </r>
  <r>
    <n v="1260"/>
    <d v="2025-09-16T00:00:00"/>
    <x v="2"/>
    <s v="Ravi"/>
    <s v="Electronics"/>
    <x v="6"/>
    <n v="1"/>
    <n v="10000"/>
    <n v="0.1"/>
    <n v="9000"/>
  </r>
  <r>
    <n v="1261"/>
    <d v="2025-09-17T00:00:00"/>
    <x v="3"/>
    <s v="Pooja"/>
    <s v="Furniture"/>
    <x v="7"/>
    <n v="4"/>
    <n v="6000"/>
    <n v="0.15"/>
    <n v="20400"/>
  </r>
  <r>
    <n v="1262"/>
    <d v="2025-09-18T00:00:00"/>
    <x v="0"/>
    <s v="Karan"/>
    <s v="Office Supplies"/>
    <x v="8"/>
    <n v="7"/>
    <n v="20"/>
    <n v="0"/>
    <n v="140"/>
  </r>
  <r>
    <n v="1263"/>
    <d v="2025-09-19T00:00:00"/>
    <x v="1"/>
    <s v="Sara"/>
    <s v="Electronics"/>
    <x v="9"/>
    <n v="10"/>
    <n v="100"/>
    <n v="0.05"/>
    <n v="950"/>
  </r>
  <r>
    <n v="1264"/>
    <d v="2025-09-20T00:00:00"/>
    <x v="2"/>
    <s v="Vikas"/>
    <s v="Furniture"/>
    <x v="10"/>
    <n v="13"/>
    <n v="50"/>
    <n v="0.1"/>
    <n v="585"/>
  </r>
  <r>
    <n v="1265"/>
    <d v="2025-09-21T00:00:00"/>
    <x v="3"/>
    <s v="Anita"/>
    <s v="Office Supplies"/>
    <x v="11"/>
    <n v="16"/>
    <n v="30"/>
    <n v="0.15"/>
    <n v="408"/>
  </r>
  <r>
    <n v="1266"/>
    <d v="2025-09-22T00:00:00"/>
    <x v="0"/>
    <s v="Amit"/>
    <s v="Electronics"/>
    <x v="0"/>
    <n v="19"/>
    <n v="50000"/>
    <n v="0"/>
    <n v="950000"/>
  </r>
  <r>
    <n v="1267"/>
    <d v="2025-09-23T00:00:00"/>
    <x v="1"/>
    <s v="Neha"/>
    <s v="Furniture"/>
    <x v="1"/>
    <n v="2"/>
    <n v="500"/>
    <n v="0.05"/>
    <n v="950"/>
  </r>
  <r>
    <n v="1268"/>
    <d v="2025-09-24T00:00:00"/>
    <x v="2"/>
    <s v="Ravi"/>
    <s v="Office Supplies"/>
    <x v="2"/>
    <n v="5"/>
    <n v="1500"/>
    <n v="0.1"/>
    <n v="6750"/>
  </r>
  <r>
    <n v="1269"/>
    <d v="2025-09-25T00:00:00"/>
    <x v="3"/>
    <s v="Pooja"/>
    <s v="Electronics"/>
    <x v="3"/>
    <n v="8"/>
    <n v="12000"/>
    <n v="0.15"/>
    <n v="81600"/>
  </r>
  <r>
    <n v="1270"/>
    <d v="2025-09-26T00:00:00"/>
    <x v="0"/>
    <s v="Karan"/>
    <s v="Furniture"/>
    <x v="4"/>
    <n v="11"/>
    <n v="4000"/>
    <n v="0"/>
    <n v="44000"/>
  </r>
  <r>
    <n v="1271"/>
    <d v="2025-09-27T00:00:00"/>
    <x v="1"/>
    <s v="Sara"/>
    <s v="Office Supplies"/>
    <x v="5"/>
    <n v="14"/>
    <n v="8000"/>
    <n v="0.05"/>
    <n v="106400"/>
  </r>
  <r>
    <n v="1272"/>
    <d v="2025-09-28T00:00:00"/>
    <x v="2"/>
    <s v="Vikas"/>
    <s v="Electronics"/>
    <x v="6"/>
    <n v="17"/>
    <n v="10000"/>
    <n v="0.1"/>
    <n v="153000"/>
  </r>
  <r>
    <n v="1273"/>
    <d v="2025-09-29T00:00:00"/>
    <x v="3"/>
    <s v="Anita"/>
    <s v="Furniture"/>
    <x v="7"/>
    <n v="20"/>
    <n v="6000"/>
    <n v="0.15"/>
    <n v="102000"/>
  </r>
  <r>
    <n v="1274"/>
    <d v="2025-09-30T00:00:00"/>
    <x v="0"/>
    <s v="Amit"/>
    <s v="Office Supplies"/>
    <x v="8"/>
    <n v="3"/>
    <n v="20"/>
    <n v="0"/>
    <n v="60"/>
  </r>
  <r>
    <n v="1275"/>
    <d v="2025-10-01T00:00:00"/>
    <x v="1"/>
    <s v="Neha"/>
    <s v="Electronics"/>
    <x v="9"/>
    <n v="6"/>
    <n v="100"/>
    <n v="0.05"/>
    <n v="570"/>
  </r>
  <r>
    <n v="1276"/>
    <d v="2025-10-02T00:00:00"/>
    <x v="2"/>
    <s v="Ravi"/>
    <s v="Furniture"/>
    <x v="10"/>
    <n v="9"/>
    <n v="50"/>
    <n v="0.1"/>
    <n v="405"/>
  </r>
  <r>
    <n v="1277"/>
    <d v="2025-10-03T00:00:00"/>
    <x v="3"/>
    <s v="Pooja"/>
    <s v="Office Supplies"/>
    <x v="11"/>
    <n v="12"/>
    <n v="30"/>
    <n v="0.15"/>
    <n v="306"/>
  </r>
  <r>
    <n v="1278"/>
    <d v="2025-10-04T00:00:00"/>
    <x v="0"/>
    <s v="Karan"/>
    <s v="Electronics"/>
    <x v="0"/>
    <n v="15"/>
    <n v="50000"/>
    <n v="0"/>
    <n v="750000"/>
  </r>
  <r>
    <n v="1279"/>
    <d v="2025-10-05T00:00:00"/>
    <x v="1"/>
    <s v="Sara"/>
    <s v="Furniture"/>
    <x v="1"/>
    <n v="18"/>
    <n v="500"/>
    <n v="0.05"/>
    <n v="8550"/>
  </r>
  <r>
    <n v="1280"/>
    <d v="2025-10-06T00:00:00"/>
    <x v="2"/>
    <s v="Vikas"/>
    <s v="Office Supplies"/>
    <x v="2"/>
    <n v="1"/>
    <n v="1500"/>
    <n v="0.1"/>
    <n v="1350"/>
  </r>
  <r>
    <n v="1281"/>
    <d v="2025-10-07T00:00:00"/>
    <x v="3"/>
    <s v="Anita"/>
    <s v="Electronics"/>
    <x v="3"/>
    <n v="4"/>
    <n v="12000"/>
    <n v="0.15"/>
    <n v="40800"/>
  </r>
  <r>
    <n v="1282"/>
    <d v="2025-10-08T00:00:00"/>
    <x v="0"/>
    <s v="Amit"/>
    <s v="Furniture"/>
    <x v="4"/>
    <n v="7"/>
    <n v="4000"/>
    <n v="0"/>
    <n v="28000"/>
  </r>
  <r>
    <n v="1283"/>
    <d v="2025-10-09T00:00:00"/>
    <x v="1"/>
    <s v="Neha"/>
    <s v="Office Supplies"/>
    <x v="5"/>
    <n v="10"/>
    <n v="8000"/>
    <n v="0.05"/>
    <n v="76000"/>
  </r>
  <r>
    <n v="1284"/>
    <d v="2025-10-10T00:00:00"/>
    <x v="2"/>
    <s v="Ravi"/>
    <s v="Electronics"/>
    <x v="6"/>
    <n v="13"/>
    <n v="10000"/>
    <n v="0.1"/>
    <n v="117000"/>
  </r>
  <r>
    <n v="1285"/>
    <d v="2025-10-11T00:00:00"/>
    <x v="3"/>
    <s v="Pooja"/>
    <s v="Furniture"/>
    <x v="7"/>
    <n v="16"/>
    <n v="6000"/>
    <n v="0.15"/>
    <n v="81600"/>
  </r>
  <r>
    <n v="1286"/>
    <d v="2025-10-12T00:00:00"/>
    <x v="0"/>
    <s v="Karan"/>
    <s v="Office Supplies"/>
    <x v="8"/>
    <n v="19"/>
    <n v="20"/>
    <n v="0"/>
    <n v="380"/>
  </r>
  <r>
    <n v="1287"/>
    <d v="2025-10-13T00:00:00"/>
    <x v="1"/>
    <s v="Sara"/>
    <s v="Electronics"/>
    <x v="9"/>
    <n v="2"/>
    <n v="100"/>
    <n v="0.05"/>
    <n v="190"/>
  </r>
  <r>
    <n v="1288"/>
    <d v="2025-10-14T00:00:00"/>
    <x v="2"/>
    <s v="Vikas"/>
    <s v="Furniture"/>
    <x v="10"/>
    <n v="5"/>
    <n v="50"/>
    <n v="0.1"/>
    <n v="225"/>
  </r>
  <r>
    <n v="1289"/>
    <d v="2025-10-15T00:00:00"/>
    <x v="3"/>
    <s v="Anita"/>
    <s v="Office Supplies"/>
    <x v="11"/>
    <n v="8"/>
    <n v="30"/>
    <n v="0.15"/>
    <n v="204"/>
  </r>
  <r>
    <n v="1290"/>
    <d v="2025-10-16T00:00:00"/>
    <x v="0"/>
    <s v="Amit"/>
    <s v="Electronics"/>
    <x v="0"/>
    <n v="11"/>
    <n v="50000"/>
    <n v="0"/>
    <n v="550000"/>
  </r>
  <r>
    <n v="1291"/>
    <d v="2025-10-17T00:00:00"/>
    <x v="1"/>
    <s v="Neha"/>
    <s v="Furniture"/>
    <x v="1"/>
    <n v="14"/>
    <n v="500"/>
    <n v="0.05"/>
    <n v="6650"/>
  </r>
  <r>
    <n v="1292"/>
    <d v="2025-10-18T00:00:00"/>
    <x v="2"/>
    <s v="Ravi"/>
    <s v="Office Supplies"/>
    <x v="2"/>
    <n v="17"/>
    <n v="1500"/>
    <n v="0.1"/>
    <n v="22950"/>
  </r>
  <r>
    <n v="1293"/>
    <d v="2025-10-19T00:00:00"/>
    <x v="3"/>
    <s v="Pooja"/>
    <s v="Electronics"/>
    <x v="3"/>
    <n v="20"/>
    <n v="12000"/>
    <n v="0.15"/>
    <n v="204000"/>
  </r>
  <r>
    <n v="1294"/>
    <d v="2025-10-20T00:00:00"/>
    <x v="0"/>
    <s v="Karan"/>
    <s v="Furniture"/>
    <x v="4"/>
    <n v="3"/>
    <n v="4000"/>
    <n v="0"/>
    <n v="12000"/>
  </r>
  <r>
    <n v="1295"/>
    <d v="2025-10-21T00:00:00"/>
    <x v="1"/>
    <s v="Sara"/>
    <s v="Office Supplies"/>
    <x v="5"/>
    <n v="6"/>
    <n v="8000"/>
    <n v="0.05"/>
    <n v="45600"/>
  </r>
  <r>
    <n v="1296"/>
    <d v="2025-10-22T00:00:00"/>
    <x v="2"/>
    <s v="Vikas"/>
    <s v="Electronics"/>
    <x v="6"/>
    <n v="9"/>
    <n v="10000"/>
    <n v="0.1"/>
    <n v="81000"/>
  </r>
  <r>
    <n v="1297"/>
    <d v="2025-10-23T00:00:00"/>
    <x v="3"/>
    <s v="Anita"/>
    <s v="Furniture"/>
    <x v="7"/>
    <n v="12"/>
    <n v="6000"/>
    <n v="0.15"/>
    <n v="61200"/>
  </r>
  <r>
    <n v="1298"/>
    <d v="2025-10-24T00:00:00"/>
    <x v="0"/>
    <s v="Amit"/>
    <s v="Office Supplies"/>
    <x v="8"/>
    <n v="15"/>
    <n v="20"/>
    <n v="0"/>
    <n v="300"/>
  </r>
  <r>
    <n v="1299"/>
    <d v="2025-10-25T00:00:00"/>
    <x v="1"/>
    <s v="Neha"/>
    <s v="Electronics"/>
    <x v="9"/>
    <n v="18"/>
    <n v="100"/>
    <n v="0.05"/>
    <n v="1710"/>
  </r>
  <r>
    <n v="1300"/>
    <d v="2025-10-26T00:00:00"/>
    <x v="2"/>
    <s v="Ravi"/>
    <s v="Furniture"/>
    <x v="10"/>
    <n v="1"/>
    <n v="50"/>
    <n v="0.1"/>
    <n v="45"/>
  </r>
  <r>
    <n v="1301"/>
    <d v="2025-10-27T00:00:00"/>
    <x v="3"/>
    <s v="Pooja"/>
    <s v="Office Supplies"/>
    <x v="11"/>
    <n v="4"/>
    <n v="30"/>
    <n v="0.15"/>
    <n v="102"/>
  </r>
  <r>
    <n v="1302"/>
    <d v="2025-10-28T00:00:00"/>
    <x v="0"/>
    <s v="Karan"/>
    <s v="Electronics"/>
    <x v="0"/>
    <n v="7"/>
    <n v="50000"/>
    <n v="0"/>
    <n v="350000"/>
  </r>
  <r>
    <n v="1303"/>
    <d v="2025-10-29T00:00:00"/>
    <x v="1"/>
    <s v="Sara"/>
    <s v="Furniture"/>
    <x v="1"/>
    <n v="10"/>
    <n v="500"/>
    <n v="0.05"/>
    <n v="4750"/>
  </r>
  <r>
    <n v="1304"/>
    <d v="2025-10-30T00:00:00"/>
    <x v="2"/>
    <s v="Vikas"/>
    <s v="Office Supplies"/>
    <x v="2"/>
    <n v="13"/>
    <n v="1500"/>
    <n v="0.1"/>
    <n v="17550"/>
  </r>
  <r>
    <n v="1305"/>
    <d v="2025-10-31T00:00:00"/>
    <x v="3"/>
    <s v="Anita"/>
    <s v="Electronics"/>
    <x v="3"/>
    <n v="16"/>
    <n v="12000"/>
    <n v="0.15"/>
    <n v="163200"/>
  </r>
  <r>
    <n v="1306"/>
    <d v="2025-11-01T00:00:00"/>
    <x v="0"/>
    <s v="Amit"/>
    <s v="Furniture"/>
    <x v="4"/>
    <n v="19"/>
    <n v="4000"/>
    <n v="0"/>
    <n v="76000"/>
  </r>
  <r>
    <n v="1307"/>
    <d v="2025-11-02T00:00:00"/>
    <x v="1"/>
    <s v="Neha"/>
    <s v="Office Supplies"/>
    <x v="5"/>
    <n v="2"/>
    <n v="8000"/>
    <n v="0.05"/>
    <n v="15200"/>
  </r>
  <r>
    <n v="1308"/>
    <d v="2025-11-03T00:00:00"/>
    <x v="2"/>
    <s v="Ravi"/>
    <s v="Electronics"/>
    <x v="6"/>
    <n v="5"/>
    <n v="10000"/>
    <n v="0.1"/>
    <n v="45000"/>
  </r>
  <r>
    <n v="1309"/>
    <d v="2025-11-04T00:00:00"/>
    <x v="3"/>
    <s v="Pooja"/>
    <s v="Furniture"/>
    <x v="7"/>
    <n v="8"/>
    <n v="6000"/>
    <n v="0.15"/>
    <n v="40800"/>
  </r>
  <r>
    <n v="1310"/>
    <d v="2025-11-05T00:00:00"/>
    <x v="0"/>
    <s v="Karan"/>
    <s v="Office Supplies"/>
    <x v="8"/>
    <n v="11"/>
    <n v="20"/>
    <n v="0"/>
    <n v="220"/>
  </r>
  <r>
    <n v="1311"/>
    <d v="2025-11-06T00:00:00"/>
    <x v="1"/>
    <s v="Sara"/>
    <s v="Electronics"/>
    <x v="9"/>
    <n v="14"/>
    <n v="100"/>
    <n v="0.05"/>
    <n v="1330"/>
  </r>
  <r>
    <n v="1312"/>
    <d v="2025-11-07T00:00:00"/>
    <x v="2"/>
    <s v="Vikas"/>
    <s v="Furniture"/>
    <x v="10"/>
    <n v="17"/>
    <n v="50"/>
    <n v="0.1"/>
    <n v="765"/>
  </r>
  <r>
    <n v="1313"/>
    <d v="2025-11-08T00:00:00"/>
    <x v="3"/>
    <s v="Anita"/>
    <s v="Office Supplies"/>
    <x v="11"/>
    <n v="20"/>
    <n v="30"/>
    <n v="0.15"/>
    <n v="510"/>
  </r>
  <r>
    <n v="1314"/>
    <d v="2025-11-09T00:00:00"/>
    <x v="0"/>
    <s v="Amit"/>
    <s v="Electronics"/>
    <x v="0"/>
    <n v="3"/>
    <n v="50000"/>
    <n v="0"/>
    <n v="150000"/>
  </r>
  <r>
    <n v="1315"/>
    <d v="2025-11-10T00:00:00"/>
    <x v="1"/>
    <s v="Neha"/>
    <s v="Furniture"/>
    <x v="1"/>
    <n v="6"/>
    <n v="500"/>
    <n v="0.05"/>
    <n v="2850"/>
  </r>
  <r>
    <n v="1316"/>
    <d v="2025-11-11T00:00:00"/>
    <x v="2"/>
    <s v="Ravi"/>
    <s v="Office Supplies"/>
    <x v="2"/>
    <n v="9"/>
    <n v="1500"/>
    <n v="0.1"/>
    <n v="12150"/>
  </r>
  <r>
    <n v="1317"/>
    <d v="2025-11-12T00:00:00"/>
    <x v="3"/>
    <s v="Pooja"/>
    <s v="Electronics"/>
    <x v="3"/>
    <n v="12"/>
    <n v="12000"/>
    <n v="0.15"/>
    <n v="122400"/>
  </r>
  <r>
    <n v="1318"/>
    <d v="2025-11-13T00:00:00"/>
    <x v="0"/>
    <s v="Karan"/>
    <s v="Furniture"/>
    <x v="4"/>
    <n v="15"/>
    <n v="4000"/>
    <n v="0"/>
    <n v="60000"/>
  </r>
  <r>
    <n v="1319"/>
    <d v="2025-11-14T00:00:00"/>
    <x v="1"/>
    <s v="Sara"/>
    <s v="Office Supplies"/>
    <x v="5"/>
    <n v="18"/>
    <n v="8000"/>
    <n v="0.05"/>
    <n v="136800"/>
  </r>
  <r>
    <n v="1320"/>
    <d v="2025-11-15T00:00:00"/>
    <x v="2"/>
    <s v="Vikas"/>
    <s v="Electronics"/>
    <x v="6"/>
    <n v="1"/>
    <n v="10000"/>
    <n v="0.1"/>
    <n v="9000"/>
  </r>
  <r>
    <n v="1321"/>
    <d v="2025-11-16T00:00:00"/>
    <x v="3"/>
    <s v="Anita"/>
    <s v="Furniture"/>
    <x v="7"/>
    <n v="4"/>
    <n v="6000"/>
    <n v="0.15"/>
    <n v="20400"/>
  </r>
  <r>
    <n v="1322"/>
    <d v="2025-11-17T00:00:00"/>
    <x v="0"/>
    <s v="Amit"/>
    <s v="Office Supplies"/>
    <x v="8"/>
    <n v="7"/>
    <n v="20"/>
    <n v="0"/>
    <n v="140"/>
  </r>
  <r>
    <n v="1323"/>
    <d v="2025-11-18T00:00:00"/>
    <x v="1"/>
    <s v="Neha"/>
    <s v="Electronics"/>
    <x v="9"/>
    <n v="10"/>
    <n v="100"/>
    <n v="0.05"/>
    <n v="950"/>
  </r>
  <r>
    <n v="1324"/>
    <d v="2025-11-19T00:00:00"/>
    <x v="2"/>
    <s v="Ravi"/>
    <s v="Furniture"/>
    <x v="10"/>
    <n v="13"/>
    <n v="50"/>
    <n v="0.1"/>
    <n v="585"/>
  </r>
  <r>
    <n v="1325"/>
    <d v="2025-11-20T00:00:00"/>
    <x v="3"/>
    <s v="Pooja"/>
    <s v="Office Supplies"/>
    <x v="11"/>
    <n v="16"/>
    <n v="30"/>
    <n v="0.15"/>
    <n v="408"/>
  </r>
  <r>
    <n v="1326"/>
    <d v="2025-11-21T00:00:00"/>
    <x v="0"/>
    <s v="Karan"/>
    <s v="Electronics"/>
    <x v="0"/>
    <n v="19"/>
    <n v="50000"/>
    <n v="0"/>
    <n v="950000"/>
  </r>
  <r>
    <n v="1327"/>
    <d v="2025-11-22T00:00:00"/>
    <x v="1"/>
    <s v="Sara"/>
    <s v="Furniture"/>
    <x v="1"/>
    <n v="2"/>
    <n v="500"/>
    <n v="0.05"/>
    <n v="950"/>
  </r>
  <r>
    <n v="1328"/>
    <d v="2025-11-23T00:00:00"/>
    <x v="2"/>
    <s v="Vikas"/>
    <s v="Office Supplies"/>
    <x v="2"/>
    <n v="5"/>
    <n v="1500"/>
    <n v="0.1"/>
    <n v="6750"/>
  </r>
  <r>
    <n v="1329"/>
    <d v="2025-11-24T00:00:00"/>
    <x v="3"/>
    <s v="Anita"/>
    <s v="Electronics"/>
    <x v="3"/>
    <n v="8"/>
    <n v="12000"/>
    <n v="0.15"/>
    <n v="81600"/>
  </r>
  <r>
    <n v="1330"/>
    <d v="2025-11-25T00:00:00"/>
    <x v="0"/>
    <s v="Amit"/>
    <s v="Furniture"/>
    <x v="4"/>
    <n v="11"/>
    <n v="4000"/>
    <n v="0"/>
    <n v="44000"/>
  </r>
  <r>
    <n v="1331"/>
    <d v="2025-11-26T00:00:00"/>
    <x v="1"/>
    <s v="Neha"/>
    <s v="Office Supplies"/>
    <x v="5"/>
    <n v="14"/>
    <n v="8000"/>
    <n v="0.05"/>
    <n v="106400"/>
  </r>
  <r>
    <n v="1332"/>
    <d v="2025-11-27T00:00:00"/>
    <x v="2"/>
    <s v="Ravi"/>
    <s v="Electronics"/>
    <x v="6"/>
    <n v="17"/>
    <n v="10000"/>
    <n v="0.1"/>
    <n v="153000"/>
  </r>
  <r>
    <n v="1333"/>
    <d v="2025-11-28T00:00:00"/>
    <x v="3"/>
    <s v="Pooja"/>
    <s v="Furniture"/>
    <x v="7"/>
    <n v="20"/>
    <n v="6000"/>
    <n v="0.15"/>
    <n v="102000"/>
  </r>
  <r>
    <n v="1334"/>
    <d v="2025-11-29T00:00:00"/>
    <x v="0"/>
    <s v="Karan"/>
    <s v="Office Supplies"/>
    <x v="8"/>
    <n v="3"/>
    <n v="20"/>
    <n v="0"/>
    <n v="60"/>
  </r>
  <r>
    <n v="1335"/>
    <d v="2025-11-30T00:00:00"/>
    <x v="1"/>
    <s v="Sara"/>
    <s v="Electronics"/>
    <x v="9"/>
    <n v="6"/>
    <n v="100"/>
    <n v="0.05"/>
    <n v="570"/>
  </r>
  <r>
    <n v="1336"/>
    <d v="2025-12-01T00:00:00"/>
    <x v="2"/>
    <s v="Vikas"/>
    <s v="Furniture"/>
    <x v="10"/>
    <n v="9"/>
    <n v="50"/>
    <n v="0.1"/>
    <n v="405"/>
  </r>
  <r>
    <n v="1337"/>
    <d v="2025-12-02T00:00:00"/>
    <x v="3"/>
    <s v="Anita"/>
    <s v="Office Supplies"/>
    <x v="11"/>
    <n v="12"/>
    <n v="30"/>
    <n v="0.15"/>
    <n v="306"/>
  </r>
  <r>
    <n v="1338"/>
    <d v="2025-12-03T00:00:00"/>
    <x v="0"/>
    <s v="Amit"/>
    <s v="Electronics"/>
    <x v="0"/>
    <n v="15"/>
    <n v="50000"/>
    <n v="0"/>
    <n v="750000"/>
  </r>
  <r>
    <n v="1339"/>
    <d v="2025-12-04T00:00:00"/>
    <x v="1"/>
    <s v="Neha"/>
    <s v="Furniture"/>
    <x v="1"/>
    <n v="18"/>
    <n v="500"/>
    <n v="0.05"/>
    <n v="8550"/>
  </r>
  <r>
    <n v="1340"/>
    <d v="2025-12-05T00:00:00"/>
    <x v="2"/>
    <s v="Ravi"/>
    <s v="Office Supplies"/>
    <x v="2"/>
    <n v="1"/>
    <n v="1500"/>
    <n v="0.1"/>
    <n v="1350"/>
  </r>
  <r>
    <n v="1341"/>
    <d v="2025-12-06T00:00:00"/>
    <x v="3"/>
    <s v="Pooja"/>
    <s v="Electronics"/>
    <x v="3"/>
    <n v="4"/>
    <n v="12000"/>
    <n v="0.15"/>
    <n v="40800"/>
  </r>
  <r>
    <n v="1342"/>
    <d v="2025-12-07T00:00:00"/>
    <x v="0"/>
    <s v="Karan"/>
    <s v="Furniture"/>
    <x v="4"/>
    <n v="7"/>
    <n v="4000"/>
    <n v="0"/>
    <n v="28000"/>
  </r>
  <r>
    <n v="1343"/>
    <d v="2025-12-08T00:00:00"/>
    <x v="1"/>
    <s v="Sara"/>
    <s v="Office Supplies"/>
    <x v="5"/>
    <n v="10"/>
    <n v="8000"/>
    <n v="0.05"/>
    <n v="76000"/>
  </r>
  <r>
    <n v="1344"/>
    <d v="2025-12-09T00:00:00"/>
    <x v="2"/>
    <s v="Vikas"/>
    <s v="Electronics"/>
    <x v="6"/>
    <n v="13"/>
    <n v="10000"/>
    <n v="0.1"/>
    <n v="117000"/>
  </r>
  <r>
    <n v="1345"/>
    <d v="2025-12-10T00:00:00"/>
    <x v="3"/>
    <s v="Anita"/>
    <s v="Furniture"/>
    <x v="7"/>
    <n v="16"/>
    <n v="6000"/>
    <n v="0.15"/>
    <n v="81600"/>
  </r>
  <r>
    <n v="1346"/>
    <d v="2025-12-11T00:00:00"/>
    <x v="0"/>
    <s v="Amit"/>
    <s v="Office Supplies"/>
    <x v="8"/>
    <n v="19"/>
    <n v="20"/>
    <n v="0"/>
    <n v="380"/>
  </r>
  <r>
    <n v="1347"/>
    <d v="2025-12-12T00:00:00"/>
    <x v="1"/>
    <s v="Neha"/>
    <s v="Electronics"/>
    <x v="9"/>
    <n v="2"/>
    <n v="100"/>
    <n v="0.05"/>
    <n v="190"/>
  </r>
  <r>
    <n v="1348"/>
    <d v="2025-12-13T00:00:00"/>
    <x v="2"/>
    <s v="Ravi"/>
    <s v="Furniture"/>
    <x v="10"/>
    <n v="5"/>
    <n v="50"/>
    <n v="0.1"/>
    <n v="225"/>
  </r>
  <r>
    <n v="1349"/>
    <d v="2025-12-14T00:00:00"/>
    <x v="3"/>
    <s v="Pooja"/>
    <s v="Office Supplies"/>
    <x v="11"/>
    <n v="8"/>
    <n v="30"/>
    <n v="0.15"/>
    <n v="204"/>
  </r>
  <r>
    <n v="1350"/>
    <d v="2025-12-15T00:00:00"/>
    <x v="0"/>
    <s v="Karan"/>
    <s v="Electronics"/>
    <x v="0"/>
    <n v="11"/>
    <n v="50000"/>
    <n v="0"/>
    <n v="550000"/>
  </r>
  <r>
    <n v="1351"/>
    <d v="2025-12-16T00:00:00"/>
    <x v="1"/>
    <s v="Sara"/>
    <s v="Furniture"/>
    <x v="1"/>
    <n v="14"/>
    <n v="500"/>
    <n v="0.05"/>
    <n v="6650"/>
  </r>
  <r>
    <n v="1352"/>
    <d v="2025-12-17T00:00:00"/>
    <x v="2"/>
    <s v="Vikas"/>
    <s v="Office Supplies"/>
    <x v="2"/>
    <n v="17"/>
    <n v="1500"/>
    <n v="0.1"/>
    <n v="22950"/>
  </r>
  <r>
    <n v="1353"/>
    <d v="2025-12-18T00:00:00"/>
    <x v="3"/>
    <s v="Anita"/>
    <s v="Electronics"/>
    <x v="3"/>
    <n v="20"/>
    <n v="12000"/>
    <n v="0.15"/>
    <n v="204000"/>
  </r>
  <r>
    <n v="1354"/>
    <d v="2025-12-19T00:00:00"/>
    <x v="0"/>
    <s v="Amit"/>
    <s v="Furniture"/>
    <x v="4"/>
    <n v="3"/>
    <n v="4000"/>
    <n v="0"/>
    <n v="12000"/>
  </r>
  <r>
    <n v="1355"/>
    <d v="2025-12-20T00:00:00"/>
    <x v="1"/>
    <s v="Neha"/>
    <s v="Office Supplies"/>
    <x v="5"/>
    <n v="6"/>
    <n v="8000"/>
    <n v="0.05"/>
    <n v="45600"/>
  </r>
  <r>
    <n v="1356"/>
    <d v="2025-12-21T00:00:00"/>
    <x v="2"/>
    <s v="Ravi"/>
    <s v="Electronics"/>
    <x v="6"/>
    <n v="9"/>
    <n v="10000"/>
    <n v="0.1"/>
    <n v="81000"/>
  </r>
  <r>
    <n v="1357"/>
    <d v="2025-12-22T00:00:00"/>
    <x v="3"/>
    <s v="Pooja"/>
    <s v="Furniture"/>
    <x v="7"/>
    <n v="12"/>
    <n v="6000"/>
    <n v="0.15"/>
    <n v="61200"/>
  </r>
  <r>
    <n v="1358"/>
    <d v="2025-12-23T00:00:00"/>
    <x v="0"/>
    <s v="Karan"/>
    <s v="Office Supplies"/>
    <x v="8"/>
    <n v="15"/>
    <n v="20"/>
    <n v="0"/>
    <n v="300"/>
  </r>
  <r>
    <n v="1359"/>
    <d v="2025-12-24T00:00:00"/>
    <x v="1"/>
    <s v="Sara"/>
    <s v="Electronics"/>
    <x v="9"/>
    <n v="18"/>
    <n v="100"/>
    <n v="0.05"/>
    <n v="1710"/>
  </r>
  <r>
    <n v="1360"/>
    <d v="2025-12-25T00:00:00"/>
    <x v="2"/>
    <s v="Vikas"/>
    <s v="Furniture"/>
    <x v="10"/>
    <n v="1"/>
    <n v="50"/>
    <n v="0.1"/>
    <n v="45"/>
  </r>
  <r>
    <n v="1361"/>
    <d v="2025-12-26T00:00:00"/>
    <x v="3"/>
    <s v="Anita"/>
    <s v="Office Supplies"/>
    <x v="11"/>
    <n v="4"/>
    <n v="30"/>
    <n v="0.15"/>
    <n v="102"/>
  </r>
  <r>
    <n v="1362"/>
    <d v="2025-12-27T00:00:00"/>
    <x v="0"/>
    <s v="Amit"/>
    <s v="Electronics"/>
    <x v="0"/>
    <n v="7"/>
    <n v="50000"/>
    <n v="0"/>
    <n v="350000"/>
  </r>
  <r>
    <n v="1363"/>
    <d v="2025-12-28T00:00:00"/>
    <x v="1"/>
    <s v="Neha"/>
    <s v="Furniture"/>
    <x v="1"/>
    <n v="10"/>
    <n v="500"/>
    <n v="0.05"/>
    <n v="4750"/>
  </r>
  <r>
    <n v="1364"/>
    <d v="2025-12-29T00:00:00"/>
    <x v="2"/>
    <s v="Ravi"/>
    <s v="Office Supplies"/>
    <x v="2"/>
    <n v="13"/>
    <n v="1500"/>
    <n v="0.1"/>
    <n v="17550"/>
  </r>
  <r>
    <n v="1365"/>
    <d v="2025-12-30T00:00:00"/>
    <x v="3"/>
    <s v="Pooja"/>
    <s v="Electronics"/>
    <x v="3"/>
    <n v="16"/>
    <n v="12000"/>
    <n v="0.15"/>
    <n v="163200"/>
  </r>
  <r>
    <n v="1366"/>
    <d v="2025-12-31T00:00:00"/>
    <x v="0"/>
    <s v="Karan"/>
    <s v="Furniture"/>
    <x v="4"/>
    <n v="19"/>
    <n v="4000"/>
    <n v="0"/>
    <n v="76000"/>
  </r>
  <r>
    <n v="1367"/>
    <d v="2025-01-01T00:00:00"/>
    <x v="1"/>
    <s v="Sara"/>
    <s v="Office Supplies"/>
    <x v="5"/>
    <n v="2"/>
    <n v="8000"/>
    <n v="0.05"/>
    <n v="15200"/>
  </r>
  <r>
    <n v="1368"/>
    <d v="2025-01-02T00:00:00"/>
    <x v="2"/>
    <s v="Vikas"/>
    <s v="Electronics"/>
    <x v="6"/>
    <n v="5"/>
    <n v="10000"/>
    <n v="0.1"/>
    <n v="45000"/>
  </r>
  <r>
    <n v="1369"/>
    <d v="2025-01-03T00:00:00"/>
    <x v="3"/>
    <s v="Anita"/>
    <s v="Furniture"/>
    <x v="7"/>
    <n v="8"/>
    <n v="6000"/>
    <n v="0.15"/>
    <n v="40800"/>
  </r>
  <r>
    <n v="1370"/>
    <d v="2025-01-04T00:00:00"/>
    <x v="0"/>
    <s v="Amit"/>
    <s v="Office Supplies"/>
    <x v="8"/>
    <n v="11"/>
    <n v="20"/>
    <n v="0"/>
    <n v="220"/>
  </r>
  <r>
    <n v="1371"/>
    <d v="2025-01-05T00:00:00"/>
    <x v="1"/>
    <s v="Neha"/>
    <s v="Electronics"/>
    <x v="9"/>
    <n v="14"/>
    <n v="100"/>
    <n v="0.05"/>
    <n v="1330"/>
  </r>
  <r>
    <n v="1372"/>
    <d v="2025-01-06T00:00:00"/>
    <x v="2"/>
    <s v="Ravi"/>
    <s v="Furniture"/>
    <x v="10"/>
    <n v="17"/>
    <n v="50"/>
    <n v="0.1"/>
    <n v="765"/>
  </r>
  <r>
    <n v="1373"/>
    <d v="2025-01-07T00:00:00"/>
    <x v="3"/>
    <s v="Pooja"/>
    <s v="Office Supplies"/>
    <x v="11"/>
    <n v="20"/>
    <n v="30"/>
    <n v="0.15"/>
    <n v="510"/>
  </r>
  <r>
    <n v="1374"/>
    <d v="2025-01-08T00:00:00"/>
    <x v="0"/>
    <s v="Karan"/>
    <s v="Electronics"/>
    <x v="0"/>
    <n v="3"/>
    <n v="50000"/>
    <n v="0"/>
    <n v="150000"/>
  </r>
  <r>
    <n v="1375"/>
    <d v="2025-01-09T00:00:00"/>
    <x v="1"/>
    <s v="Sara"/>
    <s v="Furniture"/>
    <x v="1"/>
    <n v="6"/>
    <n v="500"/>
    <n v="0.05"/>
    <n v="2850"/>
  </r>
  <r>
    <n v="1376"/>
    <d v="2025-01-10T00:00:00"/>
    <x v="2"/>
    <s v="Vikas"/>
    <s v="Office Supplies"/>
    <x v="2"/>
    <n v="9"/>
    <n v="1500"/>
    <n v="0.1"/>
    <n v="12150"/>
  </r>
  <r>
    <n v="1377"/>
    <d v="2025-01-11T00:00:00"/>
    <x v="3"/>
    <s v="Anita"/>
    <s v="Electronics"/>
    <x v="3"/>
    <n v="12"/>
    <n v="12000"/>
    <n v="0.15"/>
    <n v="122400"/>
  </r>
  <r>
    <n v="1378"/>
    <d v="2025-01-12T00:00:00"/>
    <x v="0"/>
    <s v="Amit"/>
    <s v="Furniture"/>
    <x v="4"/>
    <n v="15"/>
    <n v="4000"/>
    <n v="0"/>
    <n v="60000"/>
  </r>
  <r>
    <n v="1379"/>
    <d v="2025-01-13T00:00:00"/>
    <x v="1"/>
    <s v="Neha"/>
    <s v="Office Supplies"/>
    <x v="5"/>
    <n v="18"/>
    <n v="8000"/>
    <n v="0.05"/>
    <n v="136800"/>
  </r>
  <r>
    <n v="1380"/>
    <d v="2025-01-14T00:00:00"/>
    <x v="2"/>
    <s v="Ravi"/>
    <s v="Electronics"/>
    <x v="6"/>
    <n v="1"/>
    <n v="10000"/>
    <n v="0.1"/>
    <n v="9000"/>
  </r>
  <r>
    <n v="1381"/>
    <d v="2025-01-15T00:00:00"/>
    <x v="3"/>
    <s v="Pooja"/>
    <s v="Furniture"/>
    <x v="7"/>
    <n v="4"/>
    <n v="6000"/>
    <n v="0.15"/>
    <n v="20400"/>
  </r>
  <r>
    <n v="1382"/>
    <d v="2025-01-16T00:00:00"/>
    <x v="0"/>
    <s v="Karan"/>
    <s v="Office Supplies"/>
    <x v="8"/>
    <n v="7"/>
    <n v="20"/>
    <n v="0"/>
    <n v="140"/>
  </r>
  <r>
    <n v="1383"/>
    <d v="2025-01-17T00:00:00"/>
    <x v="1"/>
    <s v="Sara"/>
    <s v="Electronics"/>
    <x v="9"/>
    <n v="10"/>
    <n v="100"/>
    <n v="0.05"/>
    <n v="950"/>
  </r>
  <r>
    <n v="1384"/>
    <d v="2025-01-18T00:00:00"/>
    <x v="2"/>
    <s v="Vikas"/>
    <s v="Furniture"/>
    <x v="10"/>
    <n v="13"/>
    <n v="50"/>
    <n v="0.1"/>
    <n v="585"/>
  </r>
  <r>
    <n v="1385"/>
    <d v="2025-01-19T00:00:00"/>
    <x v="3"/>
    <s v="Anita"/>
    <s v="Office Supplies"/>
    <x v="11"/>
    <n v="16"/>
    <n v="30"/>
    <n v="0.15"/>
    <n v="408"/>
  </r>
  <r>
    <n v="1386"/>
    <d v="2025-01-20T00:00:00"/>
    <x v="0"/>
    <s v="Amit"/>
    <s v="Electronics"/>
    <x v="0"/>
    <n v="19"/>
    <n v="50000"/>
    <n v="0"/>
    <n v="950000"/>
  </r>
  <r>
    <n v="1387"/>
    <d v="2025-01-21T00:00:00"/>
    <x v="1"/>
    <s v="Neha"/>
    <s v="Furniture"/>
    <x v="1"/>
    <n v="2"/>
    <n v="500"/>
    <n v="0.05"/>
    <n v="950"/>
  </r>
  <r>
    <n v="1388"/>
    <d v="2025-01-22T00:00:00"/>
    <x v="2"/>
    <s v="Ravi"/>
    <s v="Office Supplies"/>
    <x v="2"/>
    <n v="5"/>
    <n v="1500"/>
    <n v="0.1"/>
    <n v="6750"/>
  </r>
  <r>
    <n v="1389"/>
    <d v="2025-01-23T00:00:00"/>
    <x v="3"/>
    <s v="Pooja"/>
    <s v="Electronics"/>
    <x v="3"/>
    <n v="8"/>
    <n v="12000"/>
    <n v="0.15"/>
    <n v="81600"/>
  </r>
  <r>
    <n v="1390"/>
    <d v="2025-01-24T00:00:00"/>
    <x v="0"/>
    <s v="Karan"/>
    <s v="Furniture"/>
    <x v="4"/>
    <n v="11"/>
    <n v="4000"/>
    <n v="0"/>
    <n v="44000"/>
  </r>
  <r>
    <n v="1391"/>
    <d v="2025-01-25T00:00:00"/>
    <x v="1"/>
    <s v="Sara"/>
    <s v="Office Supplies"/>
    <x v="5"/>
    <n v="14"/>
    <n v="8000"/>
    <n v="0.05"/>
    <n v="106400"/>
  </r>
  <r>
    <n v="1392"/>
    <d v="2025-01-26T00:00:00"/>
    <x v="2"/>
    <s v="Vikas"/>
    <s v="Electronics"/>
    <x v="6"/>
    <n v="17"/>
    <n v="10000"/>
    <n v="0.1"/>
    <n v="153000"/>
  </r>
  <r>
    <n v="1393"/>
    <d v="2025-01-27T00:00:00"/>
    <x v="3"/>
    <s v="Anita"/>
    <s v="Furniture"/>
    <x v="7"/>
    <n v="20"/>
    <n v="6000"/>
    <n v="0.15"/>
    <n v="102000"/>
  </r>
  <r>
    <n v="1394"/>
    <d v="2025-01-28T00:00:00"/>
    <x v="0"/>
    <s v="Amit"/>
    <s v="Office Supplies"/>
    <x v="8"/>
    <n v="3"/>
    <n v="20"/>
    <n v="0"/>
    <n v="60"/>
  </r>
  <r>
    <n v="1395"/>
    <d v="2025-01-29T00:00:00"/>
    <x v="1"/>
    <s v="Neha"/>
    <s v="Electronics"/>
    <x v="9"/>
    <n v="6"/>
    <n v="100"/>
    <n v="0.05"/>
    <n v="570"/>
  </r>
  <r>
    <n v="1396"/>
    <d v="2025-01-30T00:00:00"/>
    <x v="2"/>
    <s v="Ravi"/>
    <s v="Furniture"/>
    <x v="10"/>
    <n v="9"/>
    <n v="50"/>
    <n v="0.1"/>
    <n v="405"/>
  </r>
  <r>
    <n v="1397"/>
    <d v="2025-01-31T00:00:00"/>
    <x v="3"/>
    <s v="Pooja"/>
    <s v="Office Supplies"/>
    <x v="11"/>
    <n v="12"/>
    <n v="30"/>
    <n v="0.15"/>
    <n v="306"/>
  </r>
  <r>
    <n v="1398"/>
    <d v="2025-02-01T00:00:00"/>
    <x v="0"/>
    <s v="Karan"/>
    <s v="Electronics"/>
    <x v="0"/>
    <n v="15"/>
    <n v="50000"/>
    <n v="0"/>
    <n v="750000"/>
  </r>
  <r>
    <n v="1399"/>
    <d v="2025-02-02T00:00:00"/>
    <x v="1"/>
    <s v="Sara"/>
    <s v="Furniture"/>
    <x v="1"/>
    <n v="18"/>
    <n v="500"/>
    <n v="0.05"/>
    <n v="8550"/>
  </r>
  <r>
    <n v="1400"/>
    <d v="2025-02-03T00:00:00"/>
    <x v="2"/>
    <s v="Vikas"/>
    <s v="Office Supplies"/>
    <x v="2"/>
    <n v="1"/>
    <n v="1500"/>
    <n v="0.1"/>
    <n v="1350"/>
  </r>
  <r>
    <n v="1401"/>
    <d v="2025-02-04T00:00:00"/>
    <x v="3"/>
    <s v="Anita"/>
    <s v="Electronics"/>
    <x v="3"/>
    <n v="4"/>
    <n v="12000"/>
    <n v="0.15"/>
    <n v="40800"/>
  </r>
  <r>
    <n v="1402"/>
    <d v="2025-02-05T00:00:00"/>
    <x v="0"/>
    <s v="Amit"/>
    <s v="Furniture"/>
    <x v="4"/>
    <n v="7"/>
    <n v="4000"/>
    <n v="0"/>
    <n v="28000"/>
  </r>
  <r>
    <n v="1403"/>
    <d v="2025-02-06T00:00:00"/>
    <x v="1"/>
    <s v="Neha"/>
    <s v="Office Supplies"/>
    <x v="5"/>
    <n v="10"/>
    <n v="8000"/>
    <n v="0.05"/>
    <n v="76000"/>
  </r>
  <r>
    <n v="1404"/>
    <d v="2025-02-07T00:00:00"/>
    <x v="2"/>
    <s v="Ravi"/>
    <s v="Electronics"/>
    <x v="6"/>
    <n v="13"/>
    <n v="10000"/>
    <n v="0.1"/>
    <n v="117000"/>
  </r>
  <r>
    <n v="1405"/>
    <d v="2025-02-08T00:00:00"/>
    <x v="3"/>
    <s v="Pooja"/>
    <s v="Furniture"/>
    <x v="7"/>
    <n v="16"/>
    <n v="6000"/>
    <n v="0.15"/>
    <n v="81600"/>
  </r>
  <r>
    <n v="1406"/>
    <d v="2025-02-09T00:00:00"/>
    <x v="0"/>
    <s v="Karan"/>
    <s v="Office Supplies"/>
    <x v="8"/>
    <n v="19"/>
    <n v="20"/>
    <n v="0"/>
    <n v="380"/>
  </r>
  <r>
    <n v="1407"/>
    <d v="2025-02-10T00:00:00"/>
    <x v="1"/>
    <s v="Sara"/>
    <s v="Electronics"/>
    <x v="9"/>
    <n v="2"/>
    <n v="100"/>
    <n v="0.05"/>
    <n v="190"/>
  </r>
  <r>
    <n v="1408"/>
    <d v="2025-02-11T00:00:00"/>
    <x v="2"/>
    <s v="Vikas"/>
    <s v="Furniture"/>
    <x v="10"/>
    <n v="5"/>
    <n v="50"/>
    <n v="0.1"/>
    <n v="225"/>
  </r>
  <r>
    <n v="1409"/>
    <d v="2025-02-12T00:00:00"/>
    <x v="3"/>
    <s v="Anita"/>
    <s v="Office Supplies"/>
    <x v="11"/>
    <n v="8"/>
    <n v="30"/>
    <n v="0.15"/>
    <n v="204"/>
  </r>
  <r>
    <n v="1410"/>
    <d v="2025-02-13T00:00:00"/>
    <x v="0"/>
    <s v="Amit"/>
    <s v="Electronics"/>
    <x v="0"/>
    <n v="11"/>
    <n v="50000"/>
    <n v="0"/>
    <n v="550000"/>
  </r>
  <r>
    <n v="1411"/>
    <d v="2025-02-14T00:00:00"/>
    <x v="1"/>
    <s v="Neha"/>
    <s v="Furniture"/>
    <x v="1"/>
    <n v="14"/>
    <n v="500"/>
    <n v="0.05"/>
    <n v="6650"/>
  </r>
  <r>
    <n v="1412"/>
    <d v="2025-02-15T00:00:00"/>
    <x v="2"/>
    <s v="Ravi"/>
    <s v="Office Supplies"/>
    <x v="2"/>
    <n v="17"/>
    <n v="1500"/>
    <n v="0.1"/>
    <n v="22950"/>
  </r>
  <r>
    <n v="1413"/>
    <d v="2025-02-16T00:00:00"/>
    <x v="3"/>
    <s v="Pooja"/>
    <s v="Electronics"/>
    <x v="3"/>
    <n v="20"/>
    <n v="12000"/>
    <n v="0.15"/>
    <n v="204000"/>
  </r>
  <r>
    <n v="1414"/>
    <d v="2025-02-17T00:00:00"/>
    <x v="0"/>
    <s v="Karan"/>
    <s v="Furniture"/>
    <x v="4"/>
    <n v="3"/>
    <n v="4000"/>
    <n v="0"/>
    <n v="12000"/>
  </r>
  <r>
    <n v="1415"/>
    <d v="2025-02-18T00:00:00"/>
    <x v="1"/>
    <s v="Sara"/>
    <s v="Office Supplies"/>
    <x v="5"/>
    <n v="6"/>
    <n v="8000"/>
    <n v="0.05"/>
    <n v="45600"/>
  </r>
  <r>
    <n v="1416"/>
    <d v="2025-02-19T00:00:00"/>
    <x v="2"/>
    <s v="Vikas"/>
    <s v="Electronics"/>
    <x v="6"/>
    <n v="9"/>
    <n v="10000"/>
    <n v="0.1"/>
    <n v="81000"/>
  </r>
  <r>
    <n v="1417"/>
    <d v="2025-02-20T00:00:00"/>
    <x v="3"/>
    <s v="Anita"/>
    <s v="Furniture"/>
    <x v="7"/>
    <n v="12"/>
    <n v="6000"/>
    <n v="0.15"/>
    <n v="61200"/>
  </r>
  <r>
    <n v="1418"/>
    <d v="2025-02-21T00:00:00"/>
    <x v="0"/>
    <s v="Amit"/>
    <s v="Office Supplies"/>
    <x v="8"/>
    <n v="15"/>
    <n v="20"/>
    <n v="0"/>
    <n v="300"/>
  </r>
  <r>
    <n v="1419"/>
    <d v="2025-02-22T00:00:00"/>
    <x v="1"/>
    <s v="Neha"/>
    <s v="Electronics"/>
    <x v="9"/>
    <n v="18"/>
    <n v="100"/>
    <n v="0.05"/>
    <n v="1710"/>
  </r>
  <r>
    <n v="1420"/>
    <d v="2025-02-23T00:00:00"/>
    <x v="2"/>
    <s v="Ravi"/>
    <s v="Furniture"/>
    <x v="10"/>
    <n v="1"/>
    <n v="50"/>
    <n v="0.1"/>
    <n v="45"/>
  </r>
  <r>
    <n v="1421"/>
    <d v="2025-02-24T00:00:00"/>
    <x v="3"/>
    <s v="Pooja"/>
    <s v="Office Supplies"/>
    <x v="11"/>
    <n v="4"/>
    <n v="30"/>
    <n v="0.15"/>
    <n v="102"/>
  </r>
  <r>
    <n v="1422"/>
    <d v="2025-02-25T00:00:00"/>
    <x v="0"/>
    <s v="Karan"/>
    <s v="Electronics"/>
    <x v="0"/>
    <n v="7"/>
    <n v="50000"/>
    <n v="0"/>
    <n v="350000"/>
  </r>
  <r>
    <n v="1423"/>
    <d v="2025-02-26T00:00:00"/>
    <x v="1"/>
    <s v="Sara"/>
    <s v="Furniture"/>
    <x v="1"/>
    <n v="10"/>
    <n v="500"/>
    <n v="0.05"/>
    <n v="4750"/>
  </r>
  <r>
    <n v="1424"/>
    <d v="2025-02-27T00:00:00"/>
    <x v="2"/>
    <s v="Vikas"/>
    <s v="Office Supplies"/>
    <x v="2"/>
    <n v="13"/>
    <n v="1500"/>
    <n v="0.1"/>
    <n v="17550"/>
  </r>
  <r>
    <n v="1425"/>
    <d v="2025-02-28T00:00:00"/>
    <x v="3"/>
    <s v="Anita"/>
    <s v="Electronics"/>
    <x v="3"/>
    <n v="16"/>
    <n v="12000"/>
    <n v="0.15"/>
    <n v="163200"/>
  </r>
  <r>
    <n v="1426"/>
    <d v="2025-03-01T00:00:00"/>
    <x v="0"/>
    <s v="Amit"/>
    <s v="Furniture"/>
    <x v="4"/>
    <n v="19"/>
    <n v="4000"/>
    <n v="0"/>
    <n v="76000"/>
  </r>
  <r>
    <n v="1427"/>
    <d v="2025-03-02T00:00:00"/>
    <x v="1"/>
    <s v="Neha"/>
    <s v="Office Supplies"/>
    <x v="5"/>
    <n v="2"/>
    <n v="8000"/>
    <n v="0.05"/>
    <n v="15200"/>
  </r>
  <r>
    <n v="1428"/>
    <d v="2025-03-03T00:00:00"/>
    <x v="2"/>
    <s v="Ravi"/>
    <s v="Electronics"/>
    <x v="6"/>
    <n v="5"/>
    <n v="10000"/>
    <n v="0.1"/>
    <n v="45000"/>
  </r>
  <r>
    <n v="1429"/>
    <d v="2025-03-04T00:00:00"/>
    <x v="3"/>
    <s v="Pooja"/>
    <s v="Furniture"/>
    <x v="7"/>
    <n v="8"/>
    <n v="6000"/>
    <n v="0.15"/>
    <n v="40800"/>
  </r>
  <r>
    <n v="1430"/>
    <d v="2025-03-05T00:00:00"/>
    <x v="0"/>
    <s v="Karan"/>
    <s v="Office Supplies"/>
    <x v="8"/>
    <n v="11"/>
    <n v="20"/>
    <n v="0"/>
    <n v="220"/>
  </r>
  <r>
    <n v="1431"/>
    <d v="2025-03-06T00:00:00"/>
    <x v="1"/>
    <s v="Sara"/>
    <s v="Electronics"/>
    <x v="9"/>
    <n v="14"/>
    <n v="100"/>
    <n v="0.05"/>
    <n v="1330"/>
  </r>
  <r>
    <n v="1432"/>
    <d v="2025-03-07T00:00:00"/>
    <x v="2"/>
    <s v="Vikas"/>
    <s v="Furniture"/>
    <x v="10"/>
    <n v="17"/>
    <n v="50"/>
    <n v="0.1"/>
    <n v="765"/>
  </r>
  <r>
    <n v="1433"/>
    <d v="2025-03-08T00:00:00"/>
    <x v="3"/>
    <s v="Anita"/>
    <s v="Office Supplies"/>
    <x v="11"/>
    <n v="20"/>
    <n v="30"/>
    <n v="0.15"/>
    <n v="510"/>
  </r>
  <r>
    <n v="1434"/>
    <d v="2025-03-09T00:00:00"/>
    <x v="0"/>
    <s v="Amit"/>
    <s v="Electronics"/>
    <x v="0"/>
    <n v="3"/>
    <n v="50000"/>
    <n v="0"/>
    <n v="150000"/>
  </r>
  <r>
    <n v="1435"/>
    <d v="2025-03-10T00:00:00"/>
    <x v="1"/>
    <s v="Neha"/>
    <s v="Furniture"/>
    <x v="1"/>
    <n v="6"/>
    <n v="500"/>
    <n v="0.05"/>
    <n v="2850"/>
  </r>
  <r>
    <n v="1436"/>
    <d v="2025-03-11T00:00:00"/>
    <x v="2"/>
    <s v="Ravi"/>
    <s v="Office Supplies"/>
    <x v="2"/>
    <n v="9"/>
    <n v="1500"/>
    <n v="0.1"/>
    <n v="12150"/>
  </r>
  <r>
    <n v="1437"/>
    <d v="2025-03-12T00:00:00"/>
    <x v="3"/>
    <s v="Pooja"/>
    <s v="Electronics"/>
    <x v="3"/>
    <n v="12"/>
    <n v="12000"/>
    <n v="0.15"/>
    <n v="122400"/>
  </r>
  <r>
    <n v="1438"/>
    <d v="2025-03-13T00:00:00"/>
    <x v="0"/>
    <s v="Karan"/>
    <s v="Furniture"/>
    <x v="4"/>
    <n v="15"/>
    <n v="4000"/>
    <n v="0"/>
    <n v="60000"/>
  </r>
  <r>
    <n v="1439"/>
    <d v="2025-03-14T00:00:00"/>
    <x v="1"/>
    <s v="Sara"/>
    <s v="Office Supplies"/>
    <x v="5"/>
    <n v="18"/>
    <n v="8000"/>
    <n v="0.05"/>
    <n v="136800"/>
  </r>
  <r>
    <n v="1440"/>
    <d v="2025-03-15T00:00:00"/>
    <x v="2"/>
    <s v="Vikas"/>
    <s v="Electronics"/>
    <x v="6"/>
    <n v="1"/>
    <n v="10000"/>
    <n v="0.1"/>
    <n v="9000"/>
  </r>
  <r>
    <n v="1441"/>
    <d v="2025-03-16T00:00:00"/>
    <x v="3"/>
    <s v="Anita"/>
    <s v="Furniture"/>
    <x v="7"/>
    <n v="4"/>
    <n v="6000"/>
    <n v="0.15"/>
    <n v="20400"/>
  </r>
  <r>
    <n v="1442"/>
    <d v="2025-03-17T00:00:00"/>
    <x v="0"/>
    <s v="Amit"/>
    <s v="Office Supplies"/>
    <x v="8"/>
    <n v="7"/>
    <n v="20"/>
    <n v="0"/>
    <n v="140"/>
  </r>
  <r>
    <n v="1443"/>
    <d v="2025-03-18T00:00:00"/>
    <x v="1"/>
    <s v="Neha"/>
    <s v="Electronics"/>
    <x v="9"/>
    <n v="10"/>
    <n v="100"/>
    <n v="0.05"/>
    <n v="950"/>
  </r>
  <r>
    <n v="1444"/>
    <d v="2025-03-19T00:00:00"/>
    <x v="2"/>
    <s v="Ravi"/>
    <s v="Furniture"/>
    <x v="10"/>
    <n v="13"/>
    <n v="50"/>
    <n v="0.1"/>
    <n v="585"/>
  </r>
  <r>
    <n v="1445"/>
    <d v="2025-03-20T00:00:00"/>
    <x v="3"/>
    <s v="Pooja"/>
    <s v="Office Supplies"/>
    <x v="11"/>
    <n v="16"/>
    <n v="30"/>
    <n v="0.15"/>
    <n v="408"/>
  </r>
  <r>
    <n v="1446"/>
    <d v="2025-03-21T00:00:00"/>
    <x v="0"/>
    <s v="Karan"/>
    <s v="Electronics"/>
    <x v="0"/>
    <n v="19"/>
    <n v="50000"/>
    <n v="0"/>
    <n v="950000"/>
  </r>
  <r>
    <n v="1447"/>
    <d v="2025-03-22T00:00:00"/>
    <x v="1"/>
    <s v="Sara"/>
    <s v="Furniture"/>
    <x v="1"/>
    <n v="2"/>
    <n v="500"/>
    <n v="0.05"/>
    <n v="950"/>
  </r>
  <r>
    <n v="1448"/>
    <d v="2025-03-23T00:00:00"/>
    <x v="2"/>
    <s v="Vikas"/>
    <s v="Office Supplies"/>
    <x v="2"/>
    <n v="5"/>
    <n v="1500"/>
    <n v="0.1"/>
    <n v="6750"/>
  </r>
  <r>
    <n v="1449"/>
    <d v="2025-03-24T00:00:00"/>
    <x v="3"/>
    <s v="Anita"/>
    <s v="Electronics"/>
    <x v="3"/>
    <n v="8"/>
    <n v="12000"/>
    <n v="0.15"/>
    <n v="81600"/>
  </r>
  <r>
    <n v="1450"/>
    <d v="2025-03-25T00:00:00"/>
    <x v="0"/>
    <s v="Amit"/>
    <s v="Furniture"/>
    <x v="4"/>
    <n v="11"/>
    <n v="4000"/>
    <n v="0"/>
    <n v="44000"/>
  </r>
  <r>
    <n v="1451"/>
    <d v="2025-03-26T00:00:00"/>
    <x v="1"/>
    <s v="Neha"/>
    <s v="Office Supplies"/>
    <x v="5"/>
    <n v="14"/>
    <n v="8000"/>
    <n v="0.05"/>
    <n v="106400"/>
  </r>
  <r>
    <n v="1452"/>
    <d v="2025-03-27T00:00:00"/>
    <x v="2"/>
    <s v="Ravi"/>
    <s v="Electronics"/>
    <x v="6"/>
    <n v="17"/>
    <n v="10000"/>
    <n v="0.1"/>
    <n v="153000"/>
  </r>
  <r>
    <n v="1453"/>
    <d v="2025-03-28T00:00:00"/>
    <x v="3"/>
    <s v="Pooja"/>
    <s v="Furniture"/>
    <x v="7"/>
    <n v="20"/>
    <n v="6000"/>
    <n v="0.15"/>
    <n v="102000"/>
  </r>
  <r>
    <n v="1454"/>
    <d v="2025-03-29T00:00:00"/>
    <x v="0"/>
    <s v="Karan"/>
    <s v="Office Supplies"/>
    <x v="8"/>
    <n v="3"/>
    <n v="20"/>
    <n v="0"/>
    <n v="60"/>
  </r>
  <r>
    <n v="1455"/>
    <d v="2025-03-30T00:00:00"/>
    <x v="1"/>
    <s v="Sara"/>
    <s v="Electronics"/>
    <x v="9"/>
    <n v="6"/>
    <n v="100"/>
    <n v="0.05"/>
    <n v="570"/>
  </r>
  <r>
    <n v="1456"/>
    <d v="2025-03-31T00:00:00"/>
    <x v="2"/>
    <s v="Vikas"/>
    <s v="Furniture"/>
    <x v="10"/>
    <n v="9"/>
    <n v="50"/>
    <n v="0.1"/>
    <n v="405"/>
  </r>
  <r>
    <n v="1457"/>
    <d v="2025-04-01T00:00:00"/>
    <x v="3"/>
    <s v="Anita"/>
    <s v="Office Supplies"/>
    <x v="11"/>
    <n v="12"/>
    <n v="30"/>
    <n v="0.15"/>
    <n v="306"/>
  </r>
  <r>
    <n v="1458"/>
    <d v="2025-04-02T00:00:00"/>
    <x v="0"/>
    <s v="Amit"/>
    <s v="Electronics"/>
    <x v="0"/>
    <n v="15"/>
    <n v="50000"/>
    <n v="0"/>
    <n v="750000"/>
  </r>
  <r>
    <n v="1459"/>
    <d v="2025-04-03T00:00:00"/>
    <x v="1"/>
    <s v="Neha"/>
    <s v="Furniture"/>
    <x v="1"/>
    <n v="18"/>
    <n v="500"/>
    <n v="0.05"/>
    <n v="8550"/>
  </r>
  <r>
    <n v="1460"/>
    <d v="2025-04-04T00:00:00"/>
    <x v="2"/>
    <s v="Ravi"/>
    <s v="Office Supplies"/>
    <x v="2"/>
    <n v="1"/>
    <n v="1500"/>
    <n v="0.1"/>
    <n v="1350"/>
  </r>
  <r>
    <n v="1461"/>
    <d v="2025-04-05T00:00:00"/>
    <x v="3"/>
    <s v="Pooja"/>
    <s v="Electronics"/>
    <x v="3"/>
    <n v="4"/>
    <n v="12000"/>
    <n v="0.15"/>
    <n v="40800"/>
  </r>
  <r>
    <n v="1462"/>
    <d v="2025-04-06T00:00:00"/>
    <x v="0"/>
    <s v="Karan"/>
    <s v="Furniture"/>
    <x v="4"/>
    <n v="7"/>
    <n v="4000"/>
    <n v="0"/>
    <n v="28000"/>
  </r>
  <r>
    <n v="1463"/>
    <d v="2025-04-07T00:00:00"/>
    <x v="1"/>
    <s v="Sara"/>
    <s v="Office Supplies"/>
    <x v="5"/>
    <n v="10"/>
    <n v="8000"/>
    <n v="0.05"/>
    <n v="76000"/>
  </r>
  <r>
    <n v="1464"/>
    <d v="2025-04-08T00:00:00"/>
    <x v="2"/>
    <s v="Vikas"/>
    <s v="Electronics"/>
    <x v="6"/>
    <n v="13"/>
    <n v="10000"/>
    <n v="0.1"/>
    <n v="117000"/>
  </r>
  <r>
    <n v="1465"/>
    <d v="2025-04-09T00:00:00"/>
    <x v="3"/>
    <s v="Anita"/>
    <s v="Furniture"/>
    <x v="7"/>
    <n v="16"/>
    <n v="6000"/>
    <n v="0.15"/>
    <n v="81600"/>
  </r>
  <r>
    <n v="1466"/>
    <d v="2025-04-10T00:00:00"/>
    <x v="0"/>
    <s v="Amit"/>
    <s v="Office Supplies"/>
    <x v="8"/>
    <n v="19"/>
    <n v="20"/>
    <n v="0"/>
    <n v="380"/>
  </r>
  <r>
    <n v="1467"/>
    <d v="2025-04-11T00:00:00"/>
    <x v="1"/>
    <s v="Neha"/>
    <s v="Electronics"/>
    <x v="9"/>
    <n v="2"/>
    <n v="100"/>
    <n v="0.05"/>
    <n v="190"/>
  </r>
  <r>
    <n v="1468"/>
    <d v="2025-04-12T00:00:00"/>
    <x v="2"/>
    <s v="Ravi"/>
    <s v="Furniture"/>
    <x v="10"/>
    <n v="5"/>
    <n v="50"/>
    <n v="0.1"/>
    <n v="225"/>
  </r>
  <r>
    <n v="1469"/>
    <d v="2025-04-13T00:00:00"/>
    <x v="3"/>
    <s v="Pooja"/>
    <s v="Office Supplies"/>
    <x v="11"/>
    <n v="8"/>
    <n v="30"/>
    <n v="0.15"/>
    <n v="204"/>
  </r>
  <r>
    <n v="1470"/>
    <d v="2025-04-14T00:00:00"/>
    <x v="0"/>
    <s v="Karan"/>
    <s v="Electronics"/>
    <x v="0"/>
    <n v="11"/>
    <n v="50000"/>
    <n v="0"/>
    <n v="550000"/>
  </r>
  <r>
    <n v="1471"/>
    <d v="2025-04-15T00:00:00"/>
    <x v="1"/>
    <s v="Sara"/>
    <s v="Furniture"/>
    <x v="1"/>
    <n v="14"/>
    <n v="500"/>
    <n v="0.05"/>
    <n v="6650"/>
  </r>
  <r>
    <n v="1472"/>
    <d v="2025-04-16T00:00:00"/>
    <x v="2"/>
    <s v="Vikas"/>
    <s v="Office Supplies"/>
    <x v="2"/>
    <n v="17"/>
    <n v="1500"/>
    <n v="0.1"/>
    <n v="22950"/>
  </r>
  <r>
    <n v="1473"/>
    <d v="2025-04-17T00:00:00"/>
    <x v="3"/>
    <s v="Anita"/>
    <s v="Electronics"/>
    <x v="3"/>
    <n v="20"/>
    <n v="12000"/>
    <n v="0.15"/>
    <n v="204000"/>
  </r>
  <r>
    <n v="1474"/>
    <d v="2025-04-18T00:00:00"/>
    <x v="0"/>
    <s v="Amit"/>
    <s v="Furniture"/>
    <x v="4"/>
    <n v="3"/>
    <n v="4000"/>
    <n v="0"/>
    <n v="12000"/>
  </r>
  <r>
    <n v="1475"/>
    <d v="2025-04-19T00:00:00"/>
    <x v="1"/>
    <s v="Neha"/>
    <s v="Office Supplies"/>
    <x v="5"/>
    <n v="6"/>
    <n v="8000"/>
    <n v="0.05"/>
    <n v="45600"/>
  </r>
  <r>
    <n v="1476"/>
    <d v="2025-04-20T00:00:00"/>
    <x v="2"/>
    <s v="Ravi"/>
    <s v="Electronics"/>
    <x v="6"/>
    <n v="9"/>
    <n v="10000"/>
    <n v="0.1"/>
    <n v="81000"/>
  </r>
  <r>
    <n v="1477"/>
    <d v="2025-04-21T00:00:00"/>
    <x v="3"/>
    <s v="Pooja"/>
    <s v="Furniture"/>
    <x v="7"/>
    <n v="12"/>
    <n v="6000"/>
    <n v="0.15"/>
    <n v="61200"/>
  </r>
  <r>
    <n v="1478"/>
    <d v="2025-04-22T00:00:00"/>
    <x v="0"/>
    <s v="Karan"/>
    <s v="Office Supplies"/>
    <x v="8"/>
    <n v="15"/>
    <n v="20"/>
    <n v="0"/>
    <n v="300"/>
  </r>
  <r>
    <n v="1479"/>
    <d v="2025-04-23T00:00:00"/>
    <x v="1"/>
    <s v="Sara"/>
    <s v="Electronics"/>
    <x v="9"/>
    <n v="18"/>
    <n v="100"/>
    <n v="0.05"/>
    <n v="1710"/>
  </r>
  <r>
    <n v="1480"/>
    <d v="2025-04-24T00:00:00"/>
    <x v="2"/>
    <s v="Vikas"/>
    <s v="Furniture"/>
    <x v="10"/>
    <n v="1"/>
    <n v="50"/>
    <n v="0.1"/>
    <n v="45"/>
  </r>
  <r>
    <n v="1481"/>
    <d v="2025-04-25T00:00:00"/>
    <x v="3"/>
    <s v="Anita"/>
    <s v="Office Supplies"/>
    <x v="11"/>
    <n v="4"/>
    <n v="30"/>
    <n v="0.15"/>
    <n v="102"/>
  </r>
  <r>
    <n v="1482"/>
    <d v="2025-04-26T00:00:00"/>
    <x v="0"/>
    <s v="Amit"/>
    <s v="Electronics"/>
    <x v="0"/>
    <n v="7"/>
    <n v="50000"/>
    <n v="0"/>
    <n v="350000"/>
  </r>
  <r>
    <n v="1483"/>
    <d v="2025-04-27T00:00:00"/>
    <x v="1"/>
    <s v="Neha"/>
    <s v="Furniture"/>
    <x v="1"/>
    <n v="10"/>
    <n v="500"/>
    <n v="0.05"/>
    <n v="4750"/>
  </r>
  <r>
    <n v="1484"/>
    <d v="2025-04-28T00:00:00"/>
    <x v="2"/>
    <s v="Ravi"/>
    <s v="Office Supplies"/>
    <x v="2"/>
    <n v="13"/>
    <n v="1500"/>
    <n v="0.1"/>
    <n v="17550"/>
  </r>
  <r>
    <n v="1485"/>
    <d v="2025-04-29T00:00:00"/>
    <x v="3"/>
    <s v="Pooja"/>
    <s v="Electronics"/>
    <x v="3"/>
    <n v="16"/>
    <n v="12000"/>
    <n v="0.15"/>
    <n v="163200"/>
  </r>
  <r>
    <n v="1486"/>
    <d v="2025-04-30T00:00:00"/>
    <x v="0"/>
    <s v="Karan"/>
    <s v="Furniture"/>
    <x v="4"/>
    <n v="19"/>
    <n v="4000"/>
    <n v="0"/>
    <n v="76000"/>
  </r>
  <r>
    <n v="1487"/>
    <d v="2025-05-01T00:00:00"/>
    <x v="1"/>
    <s v="Sara"/>
    <s v="Office Supplies"/>
    <x v="5"/>
    <n v="2"/>
    <n v="8000"/>
    <n v="0.05"/>
    <n v="15200"/>
  </r>
  <r>
    <n v="1488"/>
    <d v="2025-05-02T00:00:00"/>
    <x v="2"/>
    <s v="Vikas"/>
    <s v="Electronics"/>
    <x v="6"/>
    <n v="5"/>
    <n v="10000"/>
    <n v="0.1"/>
    <n v="45000"/>
  </r>
  <r>
    <n v="1489"/>
    <d v="2025-05-03T00:00:00"/>
    <x v="3"/>
    <s v="Anita"/>
    <s v="Furniture"/>
    <x v="7"/>
    <n v="8"/>
    <n v="6000"/>
    <n v="0.15"/>
    <n v="40800"/>
  </r>
  <r>
    <n v="1490"/>
    <d v="2025-05-04T00:00:00"/>
    <x v="0"/>
    <s v="Amit"/>
    <s v="Office Supplies"/>
    <x v="8"/>
    <n v="11"/>
    <n v="20"/>
    <n v="0"/>
    <n v="220"/>
  </r>
  <r>
    <n v="1491"/>
    <d v="2025-05-05T00:00:00"/>
    <x v="1"/>
    <s v="Neha"/>
    <s v="Electronics"/>
    <x v="9"/>
    <n v="14"/>
    <n v="100"/>
    <n v="0.05"/>
    <n v="1330"/>
  </r>
  <r>
    <n v="1492"/>
    <d v="2025-05-06T00:00:00"/>
    <x v="2"/>
    <s v="Ravi"/>
    <s v="Furniture"/>
    <x v="10"/>
    <n v="17"/>
    <n v="50"/>
    <n v="0.1"/>
    <n v="765"/>
  </r>
  <r>
    <n v="1493"/>
    <d v="2025-05-07T00:00:00"/>
    <x v="3"/>
    <s v="Pooja"/>
    <s v="Office Supplies"/>
    <x v="11"/>
    <n v="20"/>
    <n v="30"/>
    <n v="0.15"/>
    <n v="510"/>
  </r>
  <r>
    <n v="1494"/>
    <d v="2025-05-08T00:00:00"/>
    <x v="0"/>
    <s v="Karan"/>
    <s v="Electronics"/>
    <x v="0"/>
    <n v="3"/>
    <n v="50000"/>
    <n v="0"/>
    <n v="150000"/>
  </r>
  <r>
    <n v="1495"/>
    <d v="2025-05-09T00:00:00"/>
    <x v="1"/>
    <s v="Sara"/>
    <s v="Furniture"/>
    <x v="1"/>
    <n v="6"/>
    <n v="500"/>
    <n v="0.05"/>
    <n v="2850"/>
  </r>
  <r>
    <n v="1496"/>
    <d v="2025-05-10T00:00:00"/>
    <x v="2"/>
    <s v="Vikas"/>
    <s v="Office Supplies"/>
    <x v="2"/>
    <n v="9"/>
    <n v="1500"/>
    <n v="0.1"/>
    <n v="12150"/>
  </r>
  <r>
    <n v="1497"/>
    <d v="2025-05-11T00:00:00"/>
    <x v="3"/>
    <s v="Anita"/>
    <s v="Electronics"/>
    <x v="3"/>
    <n v="12"/>
    <n v="12000"/>
    <n v="0.15"/>
    <n v="122400"/>
  </r>
  <r>
    <n v="1498"/>
    <d v="2025-05-12T00:00:00"/>
    <x v="0"/>
    <s v="Amit"/>
    <s v="Furniture"/>
    <x v="4"/>
    <n v="15"/>
    <n v="4000"/>
    <n v="0"/>
    <n v="60000"/>
  </r>
  <r>
    <n v="1499"/>
    <d v="2025-05-13T00:00:00"/>
    <x v="1"/>
    <s v="Neha"/>
    <s v="Office Supplies"/>
    <x v="5"/>
    <n v="18"/>
    <n v="8000"/>
    <n v="0.05"/>
    <n v="136800"/>
  </r>
  <r>
    <n v="1500"/>
    <d v="2025-05-14T00:00:00"/>
    <x v="2"/>
    <s v="Ravi"/>
    <s v="Electronics"/>
    <x v="6"/>
    <n v="1"/>
    <n v="10000"/>
    <n v="0.1"/>
    <n v="9000"/>
  </r>
  <r>
    <n v="1501"/>
    <d v="2025-05-15T00:00:00"/>
    <x v="3"/>
    <s v="Pooja"/>
    <s v="Furniture"/>
    <x v="7"/>
    <n v="4"/>
    <n v="6000"/>
    <n v="0.15"/>
    <n v="20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95E7E5-A69F-49A4-B28E-AD58F16754A1}" name="qu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fieldListSortAscending="1">
  <location ref="H1:I14" firstHeaderRow="1" firstDataRow="1" firstDataCol="1"/>
  <pivotFields count="10">
    <pivotField showAll="0"/>
    <pivotField numFmtId="164" showAll="0"/>
    <pivotField showAll="0">
      <items count="5">
        <item x="2"/>
        <item x="0"/>
        <item x="1"/>
        <item x="3"/>
        <item t="default"/>
      </items>
    </pivotField>
    <pivotField showAll="0"/>
    <pivotField showAll="0"/>
    <pivotField axis="axisRow" showAll="0">
      <items count="13">
        <item x="10"/>
        <item x="4"/>
        <item x="1"/>
        <item x="11"/>
        <item x="6"/>
        <item x="0"/>
        <item x="2"/>
        <item x="3"/>
        <item x="9"/>
        <item x="5"/>
        <item x="8"/>
        <item x="7"/>
        <item t="default"/>
      </items>
    </pivotField>
    <pivotField showAll="0"/>
    <pivotField showAll="0"/>
    <pivotField showAll="0"/>
    <pivotField dataField="1" showAll="0"/>
  </pivotFields>
  <rowFields count="1">
    <field x="5"/>
  </rowFields>
  <rowItems count="13">
    <i>
      <x/>
    </i>
    <i>
      <x v="1"/>
    </i>
    <i>
      <x v="2"/>
    </i>
    <i>
      <x v="3"/>
    </i>
    <i>
      <x v="4"/>
    </i>
    <i>
      <x v="5"/>
    </i>
    <i>
      <x v="6"/>
    </i>
    <i>
      <x v="7"/>
    </i>
    <i>
      <x v="8"/>
    </i>
    <i>
      <x v="9"/>
    </i>
    <i>
      <x v="10"/>
    </i>
    <i>
      <x v="11"/>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A803A74-4BD8-47A5-81CA-582AEC6D0926}" sourceName="Region">
  <pivotTables>
    <pivotTable tabId="2" name="que21"/>
  </pivotTables>
  <data>
    <tabular pivotCacheId="133758202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944ABF0-8599-4A6F-8330-52A71B759A10}" cache="Slicer_Region1"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zoomScaleNormal="100" workbookViewId="0">
      <selection activeCell="K2" sqref="K2"/>
    </sheetView>
  </sheetViews>
  <sheetFormatPr defaultRowHeight="15" x14ac:dyDescent="0.25"/>
  <cols>
    <col min="1" max="1" width="8" bestFit="1" customWidth="1"/>
    <col min="2" max="2" width="10.42578125" bestFit="1" customWidth="1"/>
    <col min="3" max="3" width="7.140625" bestFit="1" customWidth="1"/>
    <col min="4" max="4" width="11.7109375" bestFit="1" customWidth="1"/>
    <col min="5" max="5" width="14.5703125" bestFit="1" customWidth="1"/>
    <col min="6" max="6" width="9.85546875" bestFit="1" customWidth="1"/>
    <col min="7" max="7" width="5.7109375" bestFit="1" customWidth="1"/>
    <col min="8" max="8" width="9.28515625" bestFit="1" customWidth="1"/>
    <col min="9" max="9" width="8.7109375" bestFit="1" customWidth="1"/>
    <col min="10" max="10" width="8.85546875" bestFit="1" customWidth="1"/>
  </cols>
  <sheetData>
    <row r="1" spans="1:11" x14ac:dyDescent="0.25">
      <c r="A1" s="1" t="s">
        <v>0</v>
      </c>
      <c r="B1" s="1" t="s">
        <v>1</v>
      </c>
      <c r="C1" s="1" t="s">
        <v>2</v>
      </c>
      <c r="D1" s="1" t="s">
        <v>3</v>
      </c>
      <c r="E1" s="1" t="s">
        <v>4</v>
      </c>
      <c r="F1" s="1" t="s">
        <v>5</v>
      </c>
      <c r="G1" s="1" t="s">
        <v>6</v>
      </c>
      <c r="H1" s="1" t="s">
        <v>7</v>
      </c>
      <c r="I1" s="1" t="s">
        <v>8</v>
      </c>
      <c r="J1" s="1" t="s">
        <v>9</v>
      </c>
      <c r="K1" s="1" t="s">
        <v>61</v>
      </c>
    </row>
    <row r="2" spans="1:11" x14ac:dyDescent="0.25">
      <c r="A2" s="2">
        <v>1002</v>
      </c>
      <c r="B2" s="3">
        <v>45658</v>
      </c>
      <c r="C2" s="2" t="s">
        <v>10</v>
      </c>
      <c r="D2" s="2" t="s">
        <v>11</v>
      </c>
      <c r="E2" s="2" t="s">
        <v>12</v>
      </c>
      <c r="F2" s="2" t="s">
        <v>13</v>
      </c>
      <c r="G2" s="2">
        <v>7</v>
      </c>
      <c r="H2" s="2">
        <v>50000</v>
      </c>
      <c r="I2" s="2">
        <v>0</v>
      </c>
      <c r="J2" s="2">
        <f t="shared" ref="J2:J65" si="0">G2*H2*(1-I2)</f>
        <v>350000</v>
      </c>
      <c r="K2">
        <f>_xlfn.RANK.EQ(Data!J2,Data!J2:J501,0)</f>
        <v>25</v>
      </c>
    </row>
    <row r="3" spans="1:11" x14ac:dyDescent="0.25">
      <c r="A3" s="2">
        <v>1003</v>
      </c>
      <c r="B3" s="3">
        <v>45659</v>
      </c>
      <c r="C3" s="2" t="s">
        <v>14</v>
      </c>
      <c r="D3" s="2" t="s">
        <v>15</v>
      </c>
      <c r="E3" s="2" t="s">
        <v>16</v>
      </c>
      <c r="F3" s="2" t="s">
        <v>17</v>
      </c>
      <c r="G3" s="2">
        <v>10</v>
      </c>
      <c r="H3" s="2">
        <v>500</v>
      </c>
      <c r="I3" s="2">
        <v>0.05</v>
      </c>
      <c r="J3" s="2">
        <f t="shared" si="0"/>
        <v>4750</v>
      </c>
      <c r="K3">
        <f>_xlfn.RANK.EQ(Data!J3,Data!J3:J502,1)</f>
        <v>190</v>
      </c>
    </row>
    <row r="4" spans="1:11" x14ac:dyDescent="0.25">
      <c r="A4" s="2">
        <v>1004</v>
      </c>
      <c r="B4" s="3">
        <v>45660</v>
      </c>
      <c r="C4" s="2" t="s">
        <v>18</v>
      </c>
      <c r="D4" s="2" t="s">
        <v>19</v>
      </c>
      <c r="E4" s="2" t="s">
        <v>20</v>
      </c>
      <c r="F4" s="2" t="s">
        <v>21</v>
      </c>
      <c r="G4" s="2">
        <v>13</v>
      </c>
      <c r="H4" s="2">
        <v>1500</v>
      </c>
      <c r="I4" s="2">
        <v>0.1</v>
      </c>
      <c r="J4" s="2">
        <f t="shared" si="0"/>
        <v>17550</v>
      </c>
      <c r="K4">
        <f>_xlfn.RANK.EQ(Data!J4,Data!J4:J503,1)</f>
        <v>257</v>
      </c>
    </row>
    <row r="5" spans="1:11" x14ac:dyDescent="0.25">
      <c r="A5" s="2">
        <v>1005</v>
      </c>
      <c r="B5" s="3">
        <v>45661</v>
      </c>
      <c r="C5" s="2" t="s">
        <v>22</v>
      </c>
      <c r="D5" s="2" t="s">
        <v>23</v>
      </c>
      <c r="E5" s="2" t="s">
        <v>12</v>
      </c>
      <c r="F5" s="2" t="s">
        <v>24</v>
      </c>
      <c r="G5" s="2">
        <v>16</v>
      </c>
      <c r="H5" s="2">
        <v>12000</v>
      </c>
      <c r="I5" s="2">
        <v>0.15</v>
      </c>
      <c r="J5" s="2">
        <f t="shared" si="0"/>
        <v>163200</v>
      </c>
      <c r="K5">
        <f>_xlfn.RANK.EQ(Data!J5,Data!J5:J504,1)</f>
        <v>449</v>
      </c>
    </row>
    <row r="6" spans="1:11" x14ac:dyDescent="0.25">
      <c r="A6" s="2">
        <v>1006</v>
      </c>
      <c r="B6" s="3">
        <v>45662</v>
      </c>
      <c r="C6" s="2" t="s">
        <v>10</v>
      </c>
      <c r="D6" s="2" t="s">
        <v>25</v>
      </c>
      <c r="E6" s="2" t="s">
        <v>16</v>
      </c>
      <c r="F6" s="2" t="s">
        <v>26</v>
      </c>
      <c r="G6" s="2">
        <v>19</v>
      </c>
      <c r="H6" s="2">
        <v>4000</v>
      </c>
      <c r="I6" s="2">
        <v>0</v>
      </c>
      <c r="J6" s="2">
        <f t="shared" si="0"/>
        <v>76000</v>
      </c>
      <c r="K6">
        <f>_xlfn.RANK.EQ(Data!J6,Data!J6:J505,1)</f>
        <v>349</v>
      </c>
    </row>
    <row r="7" spans="1:11" x14ac:dyDescent="0.25">
      <c r="A7" s="2">
        <v>1007</v>
      </c>
      <c r="B7" s="3">
        <v>45663</v>
      </c>
      <c r="C7" s="2" t="s">
        <v>14</v>
      </c>
      <c r="D7" s="2" t="s">
        <v>27</v>
      </c>
      <c r="E7" s="2" t="s">
        <v>20</v>
      </c>
      <c r="F7" s="2" t="s">
        <v>28</v>
      </c>
      <c r="G7" s="2">
        <v>2</v>
      </c>
      <c r="H7" s="2">
        <v>8000</v>
      </c>
      <c r="I7" s="2">
        <v>0.05</v>
      </c>
      <c r="J7" s="2">
        <f t="shared" si="0"/>
        <v>15200</v>
      </c>
      <c r="K7">
        <f>_xlfn.RANK.EQ(Data!J7,Data!J7:J506,1)</f>
        <v>248</v>
      </c>
    </row>
    <row r="8" spans="1:11" x14ac:dyDescent="0.25">
      <c r="A8" s="2">
        <v>1008</v>
      </c>
      <c r="B8" s="3">
        <v>45664</v>
      </c>
      <c r="C8" s="2" t="s">
        <v>18</v>
      </c>
      <c r="D8" s="2" t="s">
        <v>29</v>
      </c>
      <c r="E8" s="2" t="s">
        <v>12</v>
      </c>
      <c r="F8" s="2" t="s">
        <v>30</v>
      </c>
      <c r="G8" s="2">
        <v>5</v>
      </c>
      <c r="H8" s="2">
        <v>10000</v>
      </c>
      <c r="I8" s="2">
        <v>0.1</v>
      </c>
      <c r="J8" s="2">
        <f t="shared" si="0"/>
        <v>45000</v>
      </c>
      <c r="K8">
        <f>_xlfn.RANK.EQ(Data!J8,Data!J8:J507,1)</f>
        <v>314</v>
      </c>
    </row>
    <row r="9" spans="1:11" x14ac:dyDescent="0.25">
      <c r="A9" s="2">
        <v>1009</v>
      </c>
      <c r="B9" s="3">
        <v>45665</v>
      </c>
      <c r="C9" s="2" t="s">
        <v>22</v>
      </c>
      <c r="D9" s="2" t="s">
        <v>31</v>
      </c>
      <c r="E9" s="2" t="s">
        <v>16</v>
      </c>
      <c r="F9" s="2" t="s">
        <v>32</v>
      </c>
      <c r="G9" s="2">
        <v>8</v>
      </c>
      <c r="H9" s="2">
        <v>6000</v>
      </c>
      <c r="I9" s="2">
        <v>0.15</v>
      </c>
      <c r="J9" s="2">
        <f t="shared" si="0"/>
        <v>40800</v>
      </c>
      <c r="K9">
        <f>_xlfn.RANK.EQ(Data!J9,Data!J9:J508,1)</f>
        <v>289</v>
      </c>
    </row>
    <row r="10" spans="1:11" x14ac:dyDescent="0.25">
      <c r="A10" s="2">
        <v>1010</v>
      </c>
      <c r="B10" s="3">
        <v>45666</v>
      </c>
      <c r="C10" s="2" t="s">
        <v>10</v>
      </c>
      <c r="D10" s="2" t="s">
        <v>11</v>
      </c>
      <c r="E10" s="2" t="s">
        <v>20</v>
      </c>
      <c r="F10" s="2" t="s">
        <v>33</v>
      </c>
      <c r="G10" s="2">
        <v>11</v>
      </c>
      <c r="H10" s="2">
        <v>20</v>
      </c>
      <c r="I10" s="2">
        <v>0</v>
      </c>
      <c r="J10" s="2">
        <f t="shared" si="0"/>
        <v>220</v>
      </c>
      <c r="K10">
        <f>_xlfn.RANK.EQ(Data!J10,Data!J10:J509,1)</f>
        <v>49</v>
      </c>
    </row>
    <row r="11" spans="1:11" x14ac:dyDescent="0.25">
      <c r="A11" s="2">
        <v>1011</v>
      </c>
      <c r="B11" s="3">
        <v>45667</v>
      </c>
      <c r="C11" s="2" t="s">
        <v>14</v>
      </c>
      <c r="D11" s="2" t="s">
        <v>15</v>
      </c>
      <c r="E11" s="2" t="s">
        <v>12</v>
      </c>
      <c r="F11" s="2" t="s">
        <v>34</v>
      </c>
      <c r="G11" s="2">
        <v>14</v>
      </c>
      <c r="H11" s="2">
        <v>100</v>
      </c>
      <c r="I11" s="2">
        <v>0.05</v>
      </c>
      <c r="J11" s="2">
        <f t="shared" si="0"/>
        <v>1330</v>
      </c>
      <c r="K11">
        <f>_xlfn.RANK.EQ(Data!J11,Data!J11:J510,1)</f>
        <v>155</v>
      </c>
    </row>
    <row r="12" spans="1:11" x14ac:dyDescent="0.25">
      <c r="A12" s="2">
        <v>1012</v>
      </c>
      <c r="B12" s="3">
        <v>45668</v>
      </c>
      <c r="C12" s="2" t="s">
        <v>18</v>
      </c>
      <c r="D12" s="2" t="s">
        <v>19</v>
      </c>
      <c r="E12" s="2" t="s">
        <v>16</v>
      </c>
      <c r="F12" s="2" t="s">
        <v>35</v>
      </c>
      <c r="G12" s="2">
        <v>17</v>
      </c>
      <c r="H12" s="2">
        <v>50</v>
      </c>
      <c r="I12" s="2">
        <v>0.1</v>
      </c>
      <c r="J12" s="2">
        <f t="shared" si="0"/>
        <v>765</v>
      </c>
      <c r="K12">
        <f>_xlfn.RANK.EQ(Data!J12,Data!J12:J511,1)</f>
        <v>130</v>
      </c>
    </row>
    <row r="13" spans="1:11" x14ac:dyDescent="0.25">
      <c r="A13" s="2">
        <v>1013</v>
      </c>
      <c r="B13" s="3">
        <v>45669</v>
      </c>
      <c r="C13" s="2" t="s">
        <v>22</v>
      </c>
      <c r="D13" s="2" t="s">
        <v>23</v>
      </c>
      <c r="E13" s="2" t="s">
        <v>20</v>
      </c>
      <c r="F13" s="2" t="s">
        <v>36</v>
      </c>
      <c r="G13" s="2">
        <v>20</v>
      </c>
      <c r="H13" s="2">
        <v>30</v>
      </c>
      <c r="I13" s="2">
        <v>0.15</v>
      </c>
      <c r="J13" s="2">
        <f t="shared" si="0"/>
        <v>510</v>
      </c>
      <c r="K13">
        <f>_xlfn.RANK.EQ(Data!J13,Data!J13:J512,1)</f>
        <v>105</v>
      </c>
    </row>
    <row r="14" spans="1:11" x14ac:dyDescent="0.25">
      <c r="A14" s="2">
        <v>1014</v>
      </c>
      <c r="B14" s="3">
        <v>45670</v>
      </c>
      <c r="C14" s="2" t="s">
        <v>10</v>
      </c>
      <c r="D14" s="2" t="s">
        <v>25</v>
      </c>
      <c r="E14" s="2" t="s">
        <v>12</v>
      </c>
      <c r="F14" s="2" t="s">
        <v>13</v>
      </c>
      <c r="G14" s="2">
        <v>3</v>
      </c>
      <c r="H14" s="2">
        <v>50000</v>
      </c>
      <c r="I14" s="2">
        <v>0</v>
      </c>
      <c r="J14" s="2">
        <f t="shared" si="0"/>
        <v>150000</v>
      </c>
      <c r="K14">
        <f>_xlfn.RANK.EQ(Data!J14,Data!J14:J513,1)</f>
        <v>424</v>
      </c>
    </row>
    <row r="15" spans="1:11" x14ac:dyDescent="0.25">
      <c r="A15" s="2">
        <v>1015</v>
      </c>
      <c r="B15" s="3">
        <v>45671</v>
      </c>
      <c r="C15" s="2" t="s">
        <v>14</v>
      </c>
      <c r="D15" s="2" t="s">
        <v>27</v>
      </c>
      <c r="E15" s="2" t="s">
        <v>16</v>
      </c>
      <c r="F15" s="2" t="s">
        <v>17</v>
      </c>
      <c r="G15" s="2">
        <v>6</v>
      </c>
      <c r="H15" s="2">
        <v>500</v>
      </c>
      <c r="I15" s="2">
        <v>0.05</v>
      </c>
      <c r="J15" s="2">
        <f t="shared" si="0"/>
        <v>2850</v>
      </c>
      <c r="K15">
        <f>_xlfn.RANK.EQ(Data!J15,Data!J15:J514,1)</f>
        <v>177</v>
      </c>
    </row>
    <row r="16" spans="1:11" x14ac:dyDescent="0.25">
      <c r="A16" s="2">
        <v>1016</v>
      </c>
      <c r="B16" s="3">
        <v>45672</v>
      </c>
      <c r="C16" s="2" t="s">
        <v>18</v>
      </c>
      <c r="D16" s="2" t="s">
        <v>29</v>
      </c>
      <c r="E16" s="2" t="s">
        <v>20</v>
      </c>
      <c r="F16" s="2" t="s">
        <v>21</v>
      </c>
      <c r="G16" s="2">
        <v>9</v>
      </c>
      <c r="H16" s="2">
        <v>1500</v>
      </c>
      <c r="I16" s="2">
        <v>0.1</v>
      </c>
      <c r="J16" s="2">
        <f t="shared" si="0"/>
        <v>12150</v>
      </c>
      <c r="K16">
        <f>_xlfn.RANK.EQ(Data!J16,Data!J16:J515,1)</f>
        <v>234</v>
      </c>
    </row>
    <row r="17" spans="1:11" x14ac:dyDescent="0.25">
      <c r="A17" s="2">
        <v>1017</v>
      </c>
      <c r="B17" s="3">
        <v>45673</v>
      </c>
      <c r="C17" s="2" t="s">
        <v>22</v>
      </c>
      <c r="D17" s="2" t="s">
        <v>31</v>
      </c>
      <c r="E17" s="2" t="s">
        <v>12</v>
      </c>
      <c r="F17" s="2" t="s">
        <v>24</v>
      </c>
      <c r="G17" s="2">
        <v>12</v>
      </c>
      <c r="H17" s="2">
        <v>12000</v>
      </c>
      <c r="I17" s="2">
        <v>0.15</v>
      </c>
      <c r="J17" s="2">
        <f t="shared" si="0"/>
        <v>122400</v>
      </c>
      <c r="K17">
        <f>_xlfn.RANK.EQ(Data!J17,Data!J17:J516,1)</f>
        <v>404</v>
      </c>
    </row>
    <row r="18" spans="1:11" x14ac:dyDescent="0.25">
      <c r="A18" s="2">
        <v>1018</v>
      </c>
      <c r="B18" s="3">
        <v>45674</v>
      </c>
      <c r="C18" s="2" t="s">
        <v>10</v>
      </c>
      <c r="D18" s="2" t="s">
        <v>11</v>
      </c>
      <c r="E18" s="2" t="s">
        <v>16</v>
      </c>
      <c r="F18" s="2" t="s">
        <v>26</v>
      </c>
      <c r="G18" s="2">
        <v>15</v>
      </c>
      <c r="H18" s="2">
        <v>4000</v>
      </c>
      <c r="I18" s="2">
        <v>0</v>
      </c>
      <c r="J18" s="2">
        <f t="shared" si="0"/>
        <v>60000</v>
      </c>
      <c r="K18">
        <f>_xlfn.RANK.EQ(Data!J18,Data!J18:J517,1)</f>
        <v>323</v>
      </c>
    </row>
    <row r="19" spans="1:11" x14ac:dyDescent="0.25">
      <c r="A19" s="2">
        <v>1019</v>
      </c>
      <c r="B19" s="3">
        <v>45675</v>
      </c>
      <c r="C19" s="2" t="s">
        <v>14</v>
      </c>
      <c r="D19" s="2" t="s">
        <v>15</v>
      </c>
      <c r="E19" s="2" t="s">
        <v>20</v>
      </c>
      <c r="F19" s="2" t="s">
        <v>28</v>
      </c>
      <c r="G19" s="2">
        <v>18</v>
      </c>
      <c r="H19" s="2">
        <v>8000</v>
      </c>
      <c r="I19" s="2">
        <v>0.05</v>
      </c>
      <c r="J19" s="2">
        <f t="shared" si="0"/>
        <v>136800</v>
      </c>
      <c r="K19">
        <f>_xlfn.RANK.EQ(Data!J19,Data!J19:J518,1)</f>
        <v>411</v>
      </c>
    </row>
    <row r="20" spans="1:11" x14ac:dyDescent="0.25">
      <c r="A20" s="2">
        <v>1020</v>
      </c>
      <c r="B20" s="3">
        <v>45676</v>
      </c>
      <c r="C20" s="2" t="s">
        <v>18</v>
      </c>
      <c r="D20" s="2" t="s">
        <v>19</v>
      </c>
      <c r="E20" s="2" t="s">
        <v>12</v>
      </c>
      <c r="F20" s="2" t="s">
        <v>30</v>
      </c>
      <c r="G20" s="2">
        <v>1</v>
      </c>
      <c r="H20" s="2">
        <v>10000</v>
      </c>
      <c r="I20" s="2">
        <v>0.1</v>
      </c>
      <c r="J20" s="2">
        <f t="shared" si="0"/>
        <v>9000</v>
      </c>
      <c r="K20">
        <f>_xlfn.RANK.EQ(Data!J20,Data!J20:J519,1)</f>
        <v>217</v>
      </c>
    </row>
    <row r="21" spans="1:11" x14ac:dyDescent="0.25">
      <c r="A21" s="2">
        <v>1021</v>
      </c>
      <c r="B21" s="3">
        <v>45677</v>
      </c>
      <c r="C21" s="2" t="s">
        <v>22</v>
      </c>
      <c r="D21" s="2" t="s">
        <v>23</v>
      </c>
      <c r="E21" s="2" t="s">
        <v>16</v>
      </c>
      <c r="F21" s="2" t="s">
        <v>32</v>
      </c>
      <c r="G21" s="2">
        <v>4</v>
      </c>
      <c r="H21" s="2">
        <v>6000</v>
      </c>
      <c r="I21" s="2">
        <v>0.15</v>
      </c>
      <c r="J21" s="2">
        <f t="shared" si="0"/>
        <v>20400</v>
      </c>
      <c r="K21">
        <f>_xlfn.RANK.EQ(Data!J21,Data!J21:J520,1)</f>
        <v>257</v>
      </c>
    </row>
    <row r="22" spans="1:11" x14ac:dyDescent="0.25">
      <c r="A22" s="2">
        <v>1022</v>
      </c>
      <c r="B22" s="3">
        <v>45678</v>
      </c>
      <c r="C22" s="2" t="s">
        <v>10</v>
      </c>
      <c r="D22" s="2" t="s">
        <v>25</v>
      </c>
      <c r="E22" s="2" t="s">
        <v>20</v>
      </c>
      <c r="F22" s="2" t="s">
        <v>33</v>
      </c>
      <c r="G22" s="2">
        <v>7</v>
      </c>
      <c r="H22" s="2">
        <v>20</v>
      </c>
      <c r="I22" s="2">
        <v>0</v>
      </c>
      <c r="J22" s="2">
        <f t="shared" si="0"/>
        <v>140</v>
      </c>
      <c r="K22">
        <f>_xlfn.RANK.EQ(Data!J22,Data!J22:J521,1)</f>
        <v>25</v>
      </c>
    </row>
    <row r="23" spans="1:11" x14ac:dyDescent="0.25">
      <c r="A23" s="2">
        <v>1023</v>
      </c>
      <c r="B23" s="3">
        <v>45679</v>
      </c>
      <c r="C23" s="2" t="s">
        <v>14</v>
      </c>
      <c r="D23" s="2" t="s">
        <v>27</v>
      </c>
      <c r="E23" s="2" t="s">
        <v>12</v>
      </c>
      <c r="F23" s="2" t="s">
        <v>34</v>
      </c>
      <c r="G23" s="2">
        <v>10</v>
      </c>
      <c r="H23" s="2">
        <v>100</v>
      </c>
      <c r="I23" s="2">
        <v>0.05</v>
      </c>
      <c r="J23" s="2">
        <f t="shared" si="0"/>
        <v>950</v>
      </c>
      <c r="K23">
        <f>_xlfn.RANK.EQ(Data!J23,Data!J23:J522,1)</f>
        <v>136</v>
      </c>
    </row>
    <row r="24" spans="1:11" x14ac:dyDescent="0.25">
      <c r="A24" s="2">
        <v>1024</v>
      </c>
      <c r="B24" s="3">
        <v>45680</v>
      </c>
      <c r="C24" s="2" t="s">
        <v>18</v>
      </c>
      <c r="D24" s="2" t="s">
        <v>29</v>
      </c>
      <c r="E24" s="2" t="s">
        <v>16</v>
      </c>
      <c r="F24" s="2" t="s">
        <v>35</v>
      </c>
      <c r="G24" s="2">
        <v>13</v>
      </c>
      <c r="H24" s="2">
        <v>50</v>
      </c>
      <c r="I24" s="2">
        <v>0.1</v>
      </c>
      <c r="J24" s="2">
        <f t="shared" si="0"/>
        <v>585</v>
      </c>
      <c r="K24">
        <f>_xlfn.RANK.EQ(Data!J24,Data!J24:J523,1)</f>
        <v>120</v>
      </c>
    </row>
    <row r="25" spans="1:11" x14ac:dyDescent="0.25">
      <c r="A25" s="2">
        <v>1025</v>
      </c>
      <c r="B25" s="3">
        <v>45681</v>
      </c>
      <c r="C25" s="2" t="s">
        <v>22</v>
      </c>
      <c r="D25" s="2" t="s">
        <v>31</v>
      </c>
      <c r="E25" s="2" t="s">
        <v>20</v>
      </c>
      <c r="F25" s="2" t="s">
        <v>36</v>
      </c>
      <c r="G25" s="2">
        <v>16</v>
      </c>
      <c r="H25" s="2">
        <v>30</v>
      </c>
      <c r="I25" s="2">
        <v>0.15</v>
      </c>
      <c r="J25" s="2">
        <f t="shared" si="0"/>
        <v>408</v>
      </c>
      <c r="K25">
        <f>_xlfn.RANK.EQ(Data!J25,Data!J25:J524,1)</f>
        <v>96</v>
      </c>
    </row>
    <row r="26" spans="1:11" x14ac:dyDescent="0.25">
      <c r="A26" s="2">
        <v>1026</v>
      </c>
      <c r="B26" s="3">
        <v>45682</v>
      </c>
      <c r="C26" s="2" t="s">
        <v>10</v>
      </c>
      <c r="D26" s="2" t="s">
        <v>11</v>
      </c>
      <c r="E26" s="2" t="s">
        <v>12</v>
      </c>
      <c r="F26" s="2" t="s">
        <v>13</v>
      </c>
      <c r="G26" s="2">
        <v>19</v>
      </c>
      <c r="H26" s="2">
        <v>50000</v>
      </c>
      <c r="I26" s="2">
        <v>0</v>
      </c>
      <c r="J26" s="2">
        <f t="shared" si="0"/>
        <v>950000</v>
      </c>
      <c r="K26">
        <f>_xlfn.RANK.EQ(Data!J26,Data!J26:J525,1)</f>
        <v>469</v>
      </c>
    </row>
    <row r="27" spans="1:11" x14ac:dyDescent="0.25">
      <c r="A27" s="2">
        <v>1027</v>
      </c>
      <c r="B27" s="3">
        <v>45683</v>
      </c>
      <c r="C27" s="2" t="s">
        <v>14</v>
      </c>
      <c r="D27" s="2" t="s">
        <v>15</v>
      </c>
      <c r="E27" s="2" t="s">
        <v>16</v>
      </c>
      <c r="F27" s="2" t="s">
        <v>17</v>
      </c>
      <c r="G27" s="2">
        <v>2</v>
      </c>
      <c r="H27" s="2">
        <v>500</v>
      </c>
      <c r="I27" s="2">
        <v>0.05</v>
      </c>
      <c r="J27" s="2">
        <f t="shared" si="0"/>
        <v>950</v>
      </c>
      <c r="K27">
        <f>_xlfn.RANK.EQ(Data!J27,Data!J27:J526,1)</f>
        <v>134</v>
      </c>
    </row>
    <row r="28" spans="1:11" x14ac:dyDescent="0.25">
      <c r="A28" s="2">
        <v>1028</v>
      </c>
      <c r="B28" s="3">
        <v>45684</v>
      </c>
      <c r="C28" s="2" t="s">
        <v>18</v>
      </c>
      <c r="D28" s="2" t="s">
        <v>19</v>
      </c>
      <c r="E28" s="2" t="s">
        <v>20</v>
      </c>
      <c r="F28" s="2" t="s">
        <v>21</v>
      </c>
      <c r="G28" s="2">
        <v>5</v>
      </c>
      <c r="H28" s="2">
        <v>1500</v>
      </c>
      <c r="I28" s="2">
        <v>0.1</v>
      </c>
      <c r="J28" s="2">
        <f t="shared" si="0"/>
        <v>6750</v>
      </c>
      <c r="K28">
        <f>_xlfn.RANK.EQ(Data!J28,Data!J28:J527,1)</f>
        <v>196</v>
      </c>
    </row>
    <row r="29" spans="1:11" x14ac:dyDescent="0.25">
      <c r="A29" s="2">
        <v>1029</v>
      </c>
      <c r="B29" s="3">
        <v>45685</v>
      </c>
      <c r="C29" s="2" t="s">
        <v>22</v>
      </c>
      <c r="D29" s="2" t="s">
        <v>23</v>
      </c>
      <c r="E29" s="2" t="s">
        <v>12</v>
      </c>
      <c r="F29" s="2" t="s">
        <v>24</v>
      </c>
      <c r="G29" s="2">
        <v>8</v>
      </c>
      <c r="H29" s="2">
        <v>12000</v>
      </c>
      <c r="I29" s="2">
        <v>0.15</v>
      </c>
      <c r="J29" s="2">
        <f t="shared" si="0"/>
        <v>81600</v>
      </c>
      <c r="K29">
        <f>_xlfn.RANK.EQ(Data!J29,Data!J29:J528,1)</f>
        <v>355</v>
      </c>
    </row>
    <row r="30" spans="1:11" x14ac:dyDescent="0.25">
      <c r="A30" s="2">
        <v>1030</v>
      </c>
      <c r="B30" s="3">
        <v>45686</v>
      </c>
      <c r="C30" s="2" t="s">
        <v>10</v>
      </c>
      <c r="D30" s="2" t="s">
        <v>25</v>
      </c>
      <c r="E30" s="2" t="s">
        <v>16</v>
      </c>
      <c r="F30" s="2" t="s">
        <v>26</v>
      </c>
      <c r="G30" s="2">
        <v>11</v>
      </c>
      <c r="H30" s="2">
        <v>4000</v>
      </c>
      <c r="I30" s="2">
        <v>0</v>
      </c>
      <c r="J30" s="2">
        <f t="shared" si="0"/>
        <v>44000</v>
      </c>
      <c r="K30">
        <f>_xlfn.RANK.EQ(Data!J30,Data!J30:J529,1)</f>
        <v>291</v>
      </c>
    </row>
    <row r="31" spans="1:11" x14ac:dyDescent="0.25">
      <c r="A31" s="2">
        <v>1031</v>
      </c>
      <c r="B31" s="3">
        <v>45687</v>
      </c>
      <c r="C31" s="2" t="s">
        <v>14</v>
      </c>
      <c r="D31" s="2" t="s">
        <v>27</v>
      </c>
      <c r="E31" s="2" t="s">
        <v>20</v>
      </c>
      <c r="F31" s="2" t="s">
        <v>28</v>
      </c>
      <c r="G31" s="2">
        <v>14</v>
      </c>
      <c r="H31" s="2">
        <v>8000</v>
      </c>
      <c r="I31" s="2">
        <v>0.05</v>
      </c>
      <c r="J31" s="2">
        <f t="shared" si="0"/>
        <v>106400</v>
      </c>
      <c r="K31">
        <f>_xlfn.RANK.EQ(Data!J31,Data!J31:J530,1)</f>
        <v>377</v>
      </c>
    </row>
    <row r="32" spans="1:11" x14ac:dyDescent="0.25">
      <c r="A32" s="2">
        <v>1032</v>
      </c>
      <c r="B32" s="3">
        <v>45688</v>
      </c>
      <c r="C32" s="2" t="s">
        <v>18</v>
      </c>
      <c r="D32" s="2" t="s">
        <v>29</v>
      </c>
      <c r="E32" s="2" t="s">
        <v>12</v>
      </c>
      <c r="F32" s="2" t="s">
        <v>30</v>
      </c>
      <c r="G32" s="2">
        <v>17</v>
      </c>
      <c r="H32" s="2">
        <v>10000</v>
      </c>
      <c r="I32" s="2">
        <v>0.1</v>
      </c>
      <c r="J32" s="2">
        <f t="shared" si="0"/>
        <v>153000</v>
      </c>
      <c r="K32">
        <f>_xlfn.RANK.EQ(Data!J32,Data!J32:J531,1)</f>
        <v>416</v>
      </c>
    </row>
    <row r="33" spans="1:11" x14ac:dyDescent="0.25">
      <c r="A33" s="2">
        <v>1033</v>
      </c>
      <c r="B33" s="3">
        <v>45689</v>
      </c>
      <c r="C33" s="2" t="s">
        <v>22</v>
      </c>
      <c r="D33" s="2" t="s">
        <v>31</v>
      </c>
      <c r="E33" s="2" t="s">
        <v>16</v>
      </c>
      <c r="F33" s="2" t="s">
        <v>32</v>
      </c>
      <c r="G33" s="2">
        <v>20</v>
      </c>
      <c r="H33" s="2">
        <v>6000</v>
      </c>
      <c r="I33" s="2">
        <v>0.15</v>
      </c>
      <c r="J33" s="2">
        <f t="shared" si="0"/>
        <v>102000</v>
      </c>
      <c r="K33">
        <f>_xlfn.RANK.EQ(Data!J33,Data!J33:J532,1)</f>
        <v>369</v>
      </c>
    </row>
    <row r="34" spans="1:11" x14ac:dyDescent="0.25">
      <c r="A34" s="2">
        <v>1034</v>
      </c>
      <c r="B34" s="3">
        <v>45690</v>
      </c>
      <c r="C34" s="2" t="s">
        <v>10</v>
      </c>
      <c r="D34" s="2" t="s">
        <v>11</v>
      </c>
      <c r="E34" s="2" t="s">
        <v>20</v>
      </c>
      <c r="F34" s="2" t="s">
        <v>33</v>
      </c>
      <c r="G34" s="2">
        <v>3</v>
      </c>
      <c r="H34" s="2">
        <v>20</v>
      </c>
      <c r="I34" s="2">
        <v>0</v>
      </c>
      <c r="J34" s="2">
        <f t="shared" si="0"/>
        <v>60</v>
      </c>
      <c r="K34">
        <f>_xlfn.RANK.EQ(Data!J34,Data!J34:J533,1)</f>
        <v>9</v>
      </c>
    </row>
    <row r="35" spans="1:11" x14ac:dyDescent="0.25">
      <c r="A35" s="2">
        <v>1035</v>
      </c>
      <c r="B35" s="3">
        <v>45691</v>
      </c>
      <c r="C35" s="2" t="s">
        <v>14</v>
      </c>
      <c r="D35" s="2" t="s">
        <v>15</v>
      </c>
      <c r="E35" s="2" t="s">
        <v>12</v>
      </c>
      <c r="F35" s="2" t="s">
        <v>34</v>
      </c>
      <c r="G35" s="2">
        <v>6</v>
      </c>
      <c r="H35" s="2">
        <v>100</v>
      </c>
      <c r="I35" s="2">
        <v>0.05</v>
      </c>
      <c r="J35" s="2">
        <f t="shared" si="0"/>
        <v>570</v>
      </c>
      <c r="K35">
        <f>_xlfn.RANK.EQ(Data!J35,Data!J35:J534,1)</f>
        <v>110</v>
      </c>
    </row>
    <row r="36" spans="1:11" x14ac:dyDescent="0.25">
      <c r="A36" s="2">
        <v>1036</v>
      </c>
      <c r="B36" s="3">
        <v>45692</v>
      </c>
      <c r="C36" s="2" t="s">
        <v>18</v>
      </c>
      <c r="D36" s="2" t="s">
        <v>19</v>
      </c>
      <c r="E36" s="2" t="s">
        <v>16</v>
      </c>
      <c r="F36" s="2" t="s">
        <v>35</v>
      </c>
      <c r="G36" s="2">
        <v>9</v>
      </c>
      <c r="H36" s="2">
        <v>50</v>
      </c>
      <c r="I36" s="2">
        <v>0.1</v>
      </c>
      <c r="J36" s="2">
        <f t="shared" si="0"/>
        <v>405</v>
      </c>
      <c r="K36">
        <f>_xlfn.RANK.EQ(Data!J36,Data!J36:J535,1)</f>
        <v>87</v>
      </c>
    </row>
    <row r="37" spans="1:11" x14ac:dyDescent="0.25">
      <c r="A37" s="2">
        <v>1037</v>
      </c>
      <c r="B37" s="3">
        <v>45693</v>
      </c>
      <c r="C37" s="2" t="s">
        <v>22</v>
      </c>
      <c r="D37" s="2" t="s">
        <v>23</v>
      </c>
      <c r="E37" s="2" t="s">
        <v>20</v>
      </c>
      <c r="F37" s="2" t="s">
        <v>36</v>
      </c>
      <c r="G37" s="2">
        <v>12</v>
      </c>
      <c r="H37" s="2">
        <v>30</v>
      </c>
      <c r="I37" s="2">
        <v>0.15</v>
      </c>
      <c r="J37" s="2">
        <f t="shared" si="0"/>
        <v>306</v>
      </c>
      <c r="K37">
        <f>_xlfn.RANK.EQ(Data!J37,Data!J37:J536,1)</f>
        <v>71</v>
      </c>
    </row>
    <row r="38" spans="1:11" x14ac:dyDescent="0.25">
      <c r="A38" s="2">
        <v>1038</v>
      </c>
      <c r="B38" s="3">
        <v>45694</v>
      </c>
      <c r="C38" s="2" t="s">
        <v>10</v>
      </c>
      <c r="D38" s="2" t="s">
        <v>25</v>
      </c>
      <c r="E38" s="2" t="s">
        <v>12</v>
      </c>
      <c r="F38" s="2" t="s">
        <v>13</v>
      </c>
      <c r="G38" s="2">
        <v>15</v>
      </c>
      <c r="H38" s="2">
        <v>50000</v>
      </c>
      <c r="I38" s="2">
        <v>0</v>
      </c>
      <c r="J38" s="2">
        <f t="shared" si="0"/>
        <v>750000</v>
      </c>
      <c r="K38">
        <f>_xlfn.RANK.EQ(Data!J38,Data!J38:J537,1)</f>
        <v>450</v>
      </c>
    </row>
    <row r="39" spans="1:11" x14ac:dyDescent="0.25">
      <c r="A39" s="2">
        <v>1039</v>
      </c>
      <c r="B39" s="3">
        <v>45695</v>
      </c>
      <c r="C39" s="2" t="s">
        <v>14</v>
      </c>
      <c r="D39" s="2" t="s">
        <v>27</v>
      </c>
      <c r="E39" s="2" t="s">
        <v>16</v>
      </c>
      <c r="F39" s="2" t="s">
        <v>17</v>
      </c>
      <c r="G39" s="2">
        <v>18</v>
      </c>
      <c r="H39" s="2">
        <v>500</v>
      </c>
      <c r="I39" s="2">
        <v>0.05</v>
      </c>
      <c r="J39" s="2">
        <f t="shared" si="0"/>
        <v>8550</v>
      </c>
      <c r="K39">
        <f>_xlfn.RANK.EQ(Data!J39,Data!J39:J538,1)</f>
        <v>199</v>
      </c>
    </row>
    <row r="40" spans="1:11" x14ac:dyDescent="0.25">
      <c r="A40" s="2">
        <v>1040</v>
      </c>
      <c r="B40" s="3">
        <v>45696</v>
      </c>
      <c r="C40" s="2" t="s">
        <v>18</v>
      </c>
      <c r="D40" s="2" t="s">
        <v>29</v>
      </c>
      <c r="E40" s="2" t="s">
        <v>20</v>
      </c>
      <c r="F40" s="2" t="s">
        <v>21</v>
      </c>
      <c r="G40" s="2">
        <v>1</v>
      </c>
      <c r="H40" s="2">
        <v>1500</v>
      </c>
      <c r="I40" s="2">
        <v>0.1</v>
      </c>
      <c r="J40" s="2">
        <f t="shared" si="0"/>
        <v>1350</v>
      </c>
      <c r="K40">
        <f>_xlfn.RANK.EQ(Data!J40,Data!J40:J539,1)</f>
        <v>152</v>
      </c>
    </row>
    <row r="41" spans="1:11" x14ac:dyDescent="0.25">
      <c r="A41" s="2">
        <v>1041</v>
      </c>
      <c r="B41" s="3">
        <v>45697</v>
      </c>
      <c r="C41" s="2" t="s">
        <v>22</v>
      </c>
      <c r="D41" s="2" t="s">
        <v>31</v>
      </c>
      <c r="E41" s="2" t="s">
        <v>12</v>
      </c>
      <c r="F41" s="2" t="s">
        <v>24</v>
      </c>
      <c r="G41" s="2">
        <v>4</v>
      </c>
      <c r="H41" s="2">
        <v>12000</v>
      </c>
      <c r="I41" s="2">
        <v>0.15</v>
      </c>
      <c r="J41" s="2">
        <f t="shared" si="0"/>
        <v>40800</v>
      </c>
      <c r="K41">
        <f>_xlfn.RANK.EQ(Data!J41,Data!J41:J540,1)</f>
        <v>269</v>
      </c>
    </row>
    <row r="42" spans="1:11" x14ac:dyDescent="0.25">
      <c r="A42" s="2">
        <v>1042</v>
      </c>
      <c r="B42" s="3">
        <v>45698</v>
      </c>
      <c r="C42" s="2" t="s">
        <v>10</v>
      </c>
      <c r="D42" s="2" t="s">
        <v>11</v>
      </c>
      <c r="E42" s="2" t="s">
        <v>16</v>
      </c>
      <c r="F42" s="2" t="s">
        <v>26</v>
      </c>
      <c r="G42" s="2">
        <v>7</v>
      </c>
      <c r="H42" s="2">
        <v>4000</v>
      </c>
      <c r="I42" s="2">
        <v>0</v>
      </c>
      <c r="J42" s="2">
        <f t="shared" si="0"/>
        <v>28000</v>
      </c>
      <c r="K42">
        <f>_xlfn.RANK.EQ(Data!J42,Data!J42:J541,1)</f>
        <v>261</v>
      </c>
    </row>
    <row r="43" spans="1:11" x14ac:dyDescent="0.25">
      <c r="A43" s="2">
        <v>1043</v>
      </c>
      <c r="B43" s="3">
        <v>45699</v>
      </c>
      <c r="C43" s="2" t="s">
        <v>14</v>
      </c>
      <c r="D43" s="2" t="s">
        <v>15</v>
      </c>
      <c r="E43" s="2" t="s">
        <v>20</v>
      </c>
      <c r="F43" s="2" t="s">
        <v>28</v>
      </c>
      <c r="G43" s="2">
        <v>10</v>
      </c>
      <c r="H43" s="2">
        <v>8000</v>
      </c>
      <c r="I43" s="2">
        <v>0.05</v>
      </c>
      <c r="J43" s="2">
        <f t="shared" si="0"/>
        <v>76000</v>
      </c>
      <c r="K43">
        <f>_xlfn.RANK.EQ(Data!J43,Data!J43:J542,1)</f>
        <v>322</v>
      </c>
    </row>
    <row r="44" spans="1:11" x14ac:dyDescent="0.25">
      <c r="A44" s="2">
        <v>1044</v>
      </c>
      <c r="B44" s="3">
        <v>45700</v>
      </c>
      <c r="C44" s="2" t="s">
        <v>18</v>
      </c>
      <c r="D44" s="2" t="s">
        <v>19</v>
      </c>
      <c r="E44" s="2" t="s">
        <v>12</v>
      </c>
      <c r="F44" s="2" t="s">
        <v>30</v>
      </c>
      <c r="G44" s="2">
        <v>13</v>
      </c>
      <c r="H44" s="2">
        <v>10000</v>
      </c>
      <c r="I44" s="2">
        <v>0.1</v>
      </c>
      <c r="J44" s="2">
        <f t="shared" si="0"/>
        <v>117000</v>
      </c>
      <c r="K44">
        <f>_xlfn.RANK.EQ(Data!J44,Data!J44:J543,1)</f>
        <v>374</v>
      </c>
    </row>
    <row r="45" spans="1:11" x14ac:dyDescent="0.25">
      <c r="A45" s="2">
        <v>1045</v>
      </c>
      <c r="B45" s="3">
        <v>45701</v>
      </c>
      <c r="C45" s="2" t="s">
        <v>22</v>
      </c>
      <c r="D45" s="2" t="s">
        <v>23</v>
      </c>
      <c r="E45" s="2" t="s">
        <v>16</v>
      </c>
      <c r="F45" s="2" t="s">
        <v>32</v>
      </c>
      <c r="G45" s="2">
        <v>16</v>
      </c>
      <c r="H45" s="2">
        <v>6000</v>
      </c>
      <c r="I45" s="2">
        <v>0.15</v>
      </c>
      <c r="J45" s="2">
        <f t="shared" si="0"/>
        <v>81600</v>
      </c>
      <c r="K45">
        <f>_xlfn.RANK.EQ(Data!J45,Data!J45:J544,1)</f>
        <v>345</v>
      </c>
    </row>
    <row r="46" spans="1:11" x14ac:dyDescent="0.25">
      <c r="A46" s="2">
        <v>1046</v>
      </c>
      <c r="B46" s="3">
        <v>45702</v>
      </c>
      <c r="C46" s="2" t="s">
        <v>10</v>
      </c>
      <c r="D46" s="2" t="s">
        <v>25</v>
      </c>
      <c r="E46" s="2" t="s">
        <v>20</v>
      </c>
      <c r="F46" s="2" t="s">
        <v>33</v>
      </c>
      <c r="G46" s="2">
        <v>19</v>
      </c>
      <c r="H46" s="2">
        <v>20</v>
      </c>
      <c r="I46" s="2">
        <v>0</v>
      </c>
      <c r="J46" s="2">
        <f t="shared" si="0"/>
        <v>380</v>
      </c>
      <c r="K46">
        <f>_xlfn.RANK.EQ(Data!J46,Data!J46:J545,1)</f>
        <v>78</v>
      </c>
    </row>
    <row r="47" spans="1:11" x14ac:dyDescent="0.25">
      <c r="A47" s="2">
        <v>1047</v>
      </c>
      <c r="B47" s="3">
        <v>45703</v>
      </c>
      <c r="C47" s="2" t="s">
        <v>14</v>
      </c>
      <c r="D47" s="2" t="s">
        <v>27</v>
      </c>
      <c r="E47" s="2" t="s">
        <v>12</v>
      </c>
      <c r="F47" s="2" t="s">
        <v>34</v>
      </c>
      <c r="G47" s="2">
        <v>2</v>
      </c>
      <c r="H47" s="2">
        <v>100</v>
      </c>
      <c r="I47" s="2">
        <v>0.05</v>
      </c>
      <c r="J47" s="2">
        <f t="shared" si="0"/>
        <v>190</v>
      </c>
      <c r="K47">
        <f>_xlfn.RANK.EQ(Data!J47,Data!J47:J546,1)</f>
        <v>31</v>
      </c>
    </row>
    <row r="48" spans="1:11" x14ac:dyDescent="0.25">
      <c r="A48" s="2">
        <v>1048</v>
      </c>
      <c r="B48" s="3">
        <v>45704</v>
      </c>
      <c r="C48" s="2" t="s">
        <v>18</v>
      </c>
      <c r="D48" s="2" t="s">
        <v>29</v>
      </c>
      <c r="E48" s="2" t="s">
        <v>16</v>
      </c>
      <c r="F48" s="2" t="s">
        <v>35</v>
      </c>
      <c r="G48" s="2">
        <v>5</v>
      </c>
      <c r="H48" s="2">
        <v>50</v>
      </c>
      <c r="I48" s="2">
        <v>0.1</v>
      </c>
      <c r="J48" s="2">
        <f t="shared" si="0"/>
        <v>225</v>
      </c>
      <c r="K48">
        <f>_xlfn.RANK.EQ(Data!J48,Data!J48:J547,1)</f>
        <v>54</v>
      </c>
    </row>
    <row r="49" spans="1:11" x14ac:dyDescent="0.25">
      <c r="A49" s="2">
        <v>1049</v>
      </c>
      <c r="B49" s="3">
        <v>45705</v>
      </c>
      <c r="C49" s="2" t="s">
        <v>22</v>
      </c>
      <c r="D49" s="2" t="s">
        <v>31</v>
      </c>
      <c r="E49" s="2" t="s">
        <v>20</v>
      </c>
      <c r="F49" s="2" t="s">
        <v>36</v>
      </c>
      <c r="G49" s="2">
        <v>8</v>
      </c>
      <c r="H49" s="2">
        <v>30</v>
      </c>
      <c r="I49" s="2">
        <v>0.15</v>
      </c>
      <c r="J49" s="2">
        <f t="shared" si="0"/>
        <v>204</v>
      </c>
      <c r="K49">
        <f>_xlfn.RANK.EQ(Data!J49,Data!J49:J548,1)</f>
        <v>38</v>
      </c>
    </row>
    <row r="50" spans="1:11" x14ac:dyDescent="0.25">
      <c r="A50" s="2">
        <v>1050</v>
      </c>
      <c r="B50" s="3">
        <v>45706</v>
      </c>
      <c r="C50" s="2" t="s">
        <v>10</v>
      </c>
      <c r="D50" s="2" t="s">
        <v>11</v>
      </c>
      <c r="E50" s="2" t="s">
        <v>12</v>
      </c>
      <c r="F50" s="2" t="s">
        <v>13</v>
      </c>
      <c r="G50" s="2">
        <v>11</v>
      </c>
      <c r="H50" s="2">
        <v>50000</v>
      </c>
      <c r="I50" s="2">
        <v>0</v>
      </c>
      <c r="J50" s="2">
        <f t="shared" si="0"/>
        <v>550000</v>
      </c>
      <c r="K50">
        <f>_xlfn.RANK.EQ(Data!J50,Data!J50:J549,1)</f>
        <v>431</v>
      </c>
    </row>
    <row r="51" spans="1:11" x14ac:dyDescent="0.25">
      <c r="A51" s="2">
        <v>1051</v>
      </c>
      <c r="B51" s="3">
        <v>45707</v>
      </c>
      <c r="C51" s="2" t="s">
        <v>14</v>
      </c>
      <c r="D51" s="2" t="s">
        <v>15</v>
      </c>
      <c r="E51" s="2" t="s">
        <v>16</v>
      </c>
      <c r="F51" s="2" t="s">
        <v>17</v>
      </c>
      <c r="G51" s="2">
        <v>14</v>
      </c>
      <c r="H51" s="2">
        <v>500</v>
      </c>
      <c r="I51" s="2">
        <v>0.05</v>
      </c>
      <c r="J51" s="2">
        <f t="shared" si="0"/>
        <v>6650</v>
      </c>
      <c r="K51">
        <f>_xlfn.RANK.EQ(Data!J51,Data!J51:J550,1)</f>
        <v>179</v>
      </c>
    </row>
    <row r="52" spans="1:11" x14ac:dyDescent="0.25">
      <c r="A52" s="2">
        <v>1052</v>
      </c>
      <c r="B52" s="3">
        <v>45708</v>
      </c>
      <c r="C52" s="2" t="s">
        <v>18</v>
      </c>
      <c r="D52" s="2" t="s">
        <v>19</v>
      </c>
      <c r="E52" s="2" t="s">
        <v>20</v>
      </c>
      <c r="F52" s="2" t="s">
        <v>21</v>
      </c>
      <c r="G52" s="2">
        <v>17</v>
      </c>
      <c r="H52" s="2">
        <v>1500</v>
      </c>
      <c r="I52" s="2">
        <v>0.1</v>
      </c>
      <c r="J52" s="2">
        <f t="shared" si="0"/>
        <v>22950</v>
      </c>
      <c r="K52">
        <f>_xlfn.RANK.EQ(Data!J52,Data!J52:J551,1)</f>
        <v>248</v>
      </c>
    </row>
    <row r="53" spans="1:11" x14ac:dyDescent="0.25">
      <c r="A53" s="2">
        <v>1053</v>
      </c>
      <c r="B53" s="3">
        <v>45709</v>
      </c>
      <c r="C53" s="2" t="s">
        <v>22</v>
      </c>
      <c r="D53" s="2" t="s">
        <v>23</v>
      </c>
      <c r="E53" s="2" t="s">
        <v>12</v>
      </c>
      <c r="F53" s="2" t="s">
        <v>24</v>
      </c>
      <c r="G53" s="2">
        <v>20</v>
      </c>
      <c r="H53" s="2">
        <v>12000</v>
      </c>
      <c r="I53" s="2">
        <v>0.15</v>
      </c>
      <c r="J53" s="2">
        <f t="shared" si="0"/>
        <v>204000</v>
      </c>
      <c r="K53">
        <f>_xlfn.RANK.EQ(Data!J53,Data!J53:J552,1)</f>
        <v>413</v>
      </c>
    </row>
    <row r="54" spans="1:11" x14ac:dyDescent="0.25">
      <c r="A54" s="2">
        <v>1054</v>
      </c>
      <c r="B54" s="3">
        <v>45710</v>
      </c>
      <c r="C54" s="2" t="s">
        <v>10</v>
      </c>
      <c r="D54" s="2" t="s">
        <v>25</v>
      </c>
      <c r="E54" s="2" t="s">
        <v>16</v>
      </c>
      <c r="F54" s="2" t="s">
        <v>26</v>
      </c>
      <c r="G54" s="2">
        <v>3</v>
      </c>
      <c r="H54" s="2">
        <v>4000</v>
      </c>
      <c r="I54" s="2">
        <v>0</v>
      </c>
      <c r="J54" s="2">
        <f t="shared" si="0"/>
        <v>12000</v>
      </c>
      <c r="K54">
        <f>_xlfn.RANK.EQ(Data!J54,Data!J54:J553,1)</f>
        <v>208</v>
      </c>
    </row>
    <row r="55" spans="1:11" x14ac:dyDescent="0.25">
      <c r="A55" s="2">
        <v>1055</v>
      </c>
      <c r="B55" s="3">
        <v>45711</v>
      </c>
      <c r="C55" s="2" t="s">
        <v>14</v>
      </c>
      <c r="D55" s="2" t="s">
        <v>27</v>
      </c>
      <c r="E55" s="2" t="s">
        <v>20</v>
      </c>
      <c r="F55" s="2" t="s">
        <v>28</v>
      </c>
      <c r="G55" s="2">
        <v>6</v>
      </c>
      <c r="H55" s="2">
        <v>8000</v>
      </c>
      <c r="I55" s="2">
        <v>0.05</v>
      </c>
      <c r="J55" s="2">
        <f t="shared" si="0"/>
        <v>45600</v>
      </c>
      <c r="K55">
        <f>_xlfn.RANK.EQ(Data!J55,Data!J55:J554,1)</f>
        <v>291</v>
      </c>
    </row>
    <row r="56" spans="1:11" x14ac:dyDescent="0.25">
      <c r="A56" s="2">
        <v>1056</v>
      </c>
      <c r="B56" s="3">
        <v>45712</v>
      </c>
      <c r="C56" s="2" t="s">
        <v>18</v>
      </c>
      <c r="D56" s="2" t="s">
        <v>29</v>
      </c>
      <c r="E56" s="2" t="s">
        <v>12</v>
      </c>
      <c r="F56" s="2" t="s">
        <v>30</v>
      </c>
      <c r="G56" s="2">
        <v>9</v>
      </c>
      <c r="H56" s="2">
        <v>10000</v>
      </c>
      <c r="I56" s="2">
        <v>0.1</v>
      </c>
      <c r="J56" s="2">
        <f t="shared" si="0"/>
        <v>81000</v>
      </c>
      <c r="K56">
        <f>_xlfn.RANK.EQ(Data!J56,Data!J56:J555,1)</f>
        <v>329</v>
      </c>
    </row>
    <row r="57" spans="1:11" x14ac:dyDescent="0.25">
      <c r="A57" s="2">
        <v>1057</v>
      </c>
      <c r="B57" s="3">
        <v>45713</v>
      </c>
      <c r="C57" s="2" t="s">
        <v>22</v>
      </c>
      <c r="D57" s="2" t="s">
        <v>31</v>
      </c>
      <c r="E57" s="2" t="s">
        <v>16</v>
      </c>
      <c r="F57" s="2" t="s">
        <v>32</v>
      </c>
      <c r="G57" s="2">
        <v>12</v>
      </c>
      <c r="H57" s="2">
        <v>6000</v>
      </c>
      <c r="I57" s="2">
        <v>0.15</v>
      </c>
      <c r="J57" s="2">
        <f t="shared" si="0"/>
        <v>61200</v>
      </c>
      <c r="K57">
        <f>_xlfn.RANK.EQ(Data!J57,Data!J57:J556,1)</f>
        <v>306</v>
      </c>
    </row>
    <row r="58" spans="1:11" x14ac:dyDescent="0.25">
      <c r="A58" s="2">
        <v>1058</v>
      </c>
      <c r="B58" s="3">
        <v>45714</v>
      </c>
      <c r="C58" s="2" t="s">
        <v>10</v>
      </c>
      <c r="D58" s="2" t="s">
        <v>11</v>
      </c>
      <c r="E58" s="2" t="s">
        <v>20</v>
      </c>
      <c r="F58" s="2" t="s">
        <v>33</v>
      </c>
      <c r="G58" s="2">
        <v>15</v>
      </c>
      <c r="H58" s="2">
        <v>20</v>
      </c>
      <c r="I58" s="2">
        <v>0</v>
      </c>
      <c r="J58" s="2">
        <f t="shared" si="0"/>
        <v>300</v>
      </c>
      <c r="K58">
        <f>_xlfn.RANK.EQ(Data!J58,Data!J58:J557,1)</f>
        <v>60</v>
      </c>
    </row>
    <row r="59" spans="1:11" x14ac:dyDescent="0.25">
      <c r="A59" s="2">
        <v>1059</v>
      </c>
      <c r="B59" s="3">
        <v>45715</v>
      </c>
      <c r="C59" s="2" t="s">
        <v>14</v>
      </c>
      <c r="D59" s="2" t="s">
        <v>15</v>
      </c>
      <c r="E59" s="2" t="s">
        <v>12</v>
      </c>
      <c r="F59" s="2" t="s">
        <v>34</v>
      </c>
      <c r="G59" s="2">
        <v>18</v>
      </c>
      <c r="H59" s="2">
        <v>100</v>
      </c>
      <c r="I59" s="2">
        <v>0.05</v>
      </c>
      <c r="J59" s="2">
        <f t="shared" si="0"/>
        <v>1710</v>
      </c>
      <c r="K59">
        <f>_xlfn.RANK.EQ(Data!J59,Data!J59:J558,1)</f>
        <v>154</v>
      </c>
    </row>
    <row r="60" spans="1:11" x14ac:dyDescent="0.25">
      <c r="A60" s="2">
        <v>1060</v>
      </c>
      <c r="B60" s="3">
        <v>45716</v>
      </c>
      <c r="C60" s="2" t="s">
        <v>18</v>
      </c>
      <c r="D60" s="2" t="s">
        <v>19</v>
      </c>
      <c r="E60" s="2" t="s">
        <v>16</v>
      </c>
      <c r="F60" s="2" t="s">
        <v>35</v>
      </c>
      <c r="G60" s="2">
        <v>1</v>
      </c>
      <c r="H60" s="2">
        <v>50</v>
      </c>
      <c r="I60" s="2">
        <v>0.1</v>
      </c>
      <c r="J60" s="2">
        <f t="shared" si="0"/>
        <v>45</v>
      </c>
      <c r="K60">
        <f>_xlfn.RANK.EQ(Data!J60,Data!J60:J559,1)</f>
        <v>1</v>
      </c>
    </row>
    <row r="61" spans="1:11" x14ac:dyDescent="0.25">
      <c r="A61" s="2">
        <v>1061</v>
      </c>
      <c r="B61" s="3">
        <v>45717</v>
      </c>
      <c r="C61" s="2" t="s">
        <v>22</v>
      </c>
      <c r="D61" s="2" t="s">
        <v>23</v>
      </c>
      <c r="E61" s="2" t="s">
        <v>20</v>
      </c>
      <c r="F61" s="2" t="s">
        <v>36</v>
      </c>
      <c r="G61" s="2">
        <v>4</v>
      </c>
      <c r="H61" s="2">
        <v>30</v>
      </c>
      <c r="I61" s="2">
        <v>0.15</v>
      </c>
      <c r="J61" s="2">
        <f t="shared" si="0"/>
        <v>102</v>
      </c>
      <c r="K61">
        <f>_xlfn.RANK.EQ(Data!J61,Data!J61:J560,1)</f>
        <v>15</v>
      </c>
    </row>
    <row r="62" spans="1:11" x14ac:dyDescent="0.25">
      <c r="A62" s="2">
        <v>1062</v>
      </c>
      <c r="B62" s="3">
        <v>45718</v>
      </c>
      <c r="C62" s="2" t="s">
        <v>10</v>
      </c>
      <c r="D62" s="2" t="s">
        <v>25</v>
      </c>
      <c r="E62" s="2" t="s">
        <v>12</v>
      </c>
      <c r="F62" s="2" t="s">
        <v>13</v>
      </c>
      <c r="G62" s="2">
        <v>7</v>
      </c>
      <c r="H62" s="2">
        <v>50000</v>
      </c>
      <c r="I62" s="2">
        <v>0</v>
      </c>
      <c r="J62" s="2">
        <f t="shared" si="0"/>
        <v>350000</v>
      </c>
      <c r="K62">
        <f>_xlfn.RANK.EQ(Data!J62,Data!J62:J561,1)</f>
        <v>412</v>
      </c>
    </row>
    <row r="63" spans="1:11" x14ac:dyDescent="0.25">
      <c r="A63" s="2">
        <v>1063</v>
      </c>
      <c r="B63" s="3">
        <v>45719</v>
      </c>
      <c r="C63" s="2" t="s">
        <v>14</v>
      </c>
      <c r="D63" s="2" t="s">
        <v>27</v>
      </c>
      <c r="E63" s="2" t="s">
        <v>16</v>
      </c>
      <c r="F63" s="2" t="s">
        <v>17</v>
      </c>
      <c r="G63" s="2">
        <v>10</v>
      </c>
      <c r="H63" s="2">
        <v>500</v>
      </c>
      <c r="I63" s="2">
        <v>0.05</v>
      </c>
      <c r="J63" s="2">
        <f t="shared" si="0"/>
        <v>4750</v>
      </c>
      <c r="K63">
        <f>_xlfn.RANK.EQ(Data!J63,Data!J63:J562,1)</f>
        <v>167</v>
      </c>
    </row>
    <row r="64" spans="1:11" x14ac:dyDescent="0.25">
      <c r="A64" s="2">
        <v>1064</v>
      </c>
      <c r="B64" s="3">
        <v>45720</v>
      </c>
      <c r="C64" s="2" t="s">
        <v>18</v>
      </c>
      <c r="D64" s="2" t="s">
        <v>29</v>
      </c>
      <c r="E64" s="2" t="s">
        <v>20</v>
      </c>
      <c r="F64" s="2" t="s">
        <v>21</v>
      </c>
      <c r="G64" s="2">
        <v>13</v>
      </c>
      <c r="H64" s="2">
        <v>1500</v>
      </c>
      <c r="I64" s="2">
        <v>0.1</v>
      </c>
      <c r="J64" s="2">
        <f t="shared" si="0"/>
        <v>17550</v>
      </c>
      <c r="K64">
        <f>_xlfn.RANK.EQ(Data!J64,Data!J64:J563,1)</f>
        <v>226</v>
      </c>
    </row>
    <row r="65" spans="1:11" x14ac:dyDescent="0.25">
      <c r="A65" s="2">
        <v>1065</v>
      </c>
      <c r="B65" s="3">
        <v>45721</v>
      </c>
      <c r="C65" s="2" t="s">
        <v>22</v>
      </c>
      <c r="D65" s="2" t="s">
        <v>31</v>
      </c>
      <c r="E65" s="2" t="s">
        <v>12</v>
      </c>
      <c r="F65" s="2" t="s">
        <v>24</v>
      </c>
      <c r="G65" s="2">
        <v>16</v>
      </c>
      <c r="H65" s="2">
        <v>12000</v>
      </c>
      <c r="I65" s="2">
        <v>0.15</v>
      </c>
      <c r="J65" s="2">
        <f t="shared" si="0"/>
        <v>163200</v>
      </c>
      <c r="K65">
        <f>_xlfn.RANK.EQ(Data!J65,Data!J65:J564,1)</f>
        <v>395</v>
      </c>
    </row>
    <row r="66" spans="1:11" x14ac:dyDescent="0.25">
      <c r="A66" s="2">
        <v>1066</v>
      </c>
      <c r="B66" s="3">
        <v>45722</v>
      </c>
      <c r="C66" s="2" t="s">
        <v>10</v>
      </c>
      <c r="D66" s="2" t="s">
        <v>11</v>
      </c>
      <c r="E66" s="2" t="s">
        <v>16</v>
      </c>
      <c r="F66" s="2" t="s">
        <v>26</v>
      </c>
      <c r="G66" s="2">
        <v>19</v>
      </c>
      <c r="H66" s="2">
        <v>4000</v>
      </c>
      <c r="I66" s="2">
        <v>0</v>
      </c>
      <c r="J66" s="2">
        <f t="shared" ref="J66:J129" si="1">G66*H66*(1-I66)</f>
        <v>76000</v>
      </c>
      <c r="K66">
        <f>_xlfn.RANK.EQ(Data!J66,Data!J66:J565,1)</f>
        <v>307</v>
      </c>
    </row>
    <row r="67" spans="1:11" x14ac:dyDescent="0.25">
      <c r="A67" s="2">
        <v>1067</v>
      </c>
      <c r="B67" s="3">
        <v>45723</v>
      </c>
      <c r="C67" s="2" t="s">
        <v>14</v>
      </c>
      <c r="D67" s="2" t="s">
        <v>15</v>
      </c>
      <c r="E67" s="2" t="s">
        <v>20</v>
      </c>
      <c r="F67" s="2" t="s">
        <v>28</v>
      </c>
      <c r="G67" s="2">
        <v>2</v>
      </c>
      <c r="H67" s="2">
        <v>8000</v>
      </c>
      <c r="I67" s="2">
        <v>0.05</v>
      </c>
      <c r="J67" s="2">
        <f t="shared" si="1"/>
        <v>15200</v>
      </c>
      <c r="K67">
        <f>_xlfn.RANK.EQ(Data!J67,Data!J67:J566,1)</f>
        <v>218</v>
      </c>
    </row>
    <row r="68" spans="1:11" x14ac:dyDescent="0.25">
      <c r="A68" s="2">
        <v>1068</v>
      </c>
      <c r="B68" s="3">
        <v>45724</v>
      </c>
      <c r="C68" s="2" t="s">
        <v>18</v>
      </c>
      <c r="D68" s="2" t="s">
        <v>19</v>
      </c>
      <c r="E68" s="2" t="s">
        <v>12</v>
      </c>
      <c r="F68" s="2" t="s">
        <v>30</v>
      </c>
      <c r="G68" s="2">
        <v>5</v>
      </c>
      <c r="H68" s="2">
        <v>10000</v>
      </c>
      <c r="I68" s="2">
        <v>0.1</v>
      </c>
      <c r="J68" s="2">
        <f t="shared" si="1"/>
        <v>45000</v>
      </c>
      <c r="K68">
        <f>_xlfn.RANK.EQ(Data!J68,Data!J68:J567,1)</f>
        <v>276</v>
      </c>
    </row>
    <row r="69" spans="1:11" x14ac:dyDescent="0.25">
      <c r="A69" s="2">
        <v>1069</v>
      </c>
      <c r="B69" s="3">
        <v>45725</v>
      </c>
      <c r="C69" s="2" t="s">
        <v>22</v>
      </c>
      <c r="D69" s="2" t="s">
        <v>23</v>
      </c>
      <c r="E69" s="2" t="s">
        <v>16</v>
      </c>
      <c r="F69" s="2" t="s">
        <v>32</v>
      </c>
      <c r="G69" s="2">
        <v>8</v>
      </c>
      <c r="H69" s="2">
        <v>6000</v>
      </c>
      <c r="I69" s="2">
        <v>0.15</v>
      </c>
      <c r="J69" s="2">
        <f t="shared" si="1"/>
        <v>40800</v>
      </c>
      <c r="K69">
        <f>_xlfn.RANK.EQ(Data!J69,Data!J69:J568,1)</f>
        <v>254</v>
      </c>
    </row>
    <row r="70" spans="1:11" x14ac:dyDescent="0.25">
      <c r="A70" s="2">
        <v>1070</v>
      </c>
      <c r="B70" s="3">
        <v>45726</v>
      </c>
      <c r="C70" s="2" t="s">
        <v>10</v>
      </c>
      <c r="D70" s="2" t="s">
        <v>25</v>
      </c>
      <c r="E70" s="2" t="s">
        <v>20</v>
      </c>
      <c r="F70" s="2" t="s">
        <v>33</v>
      </c>
      <c r="G70" s="2">
        <v>11</v>
      </c>
      <c r="H70" s="2">
        <v>20</v>
      </c>
      <c r="I70" s="2">
        <v>0</v>
      </c>
      <c r="J70" s="2">
        <f t="shared" si="1"/>
        <v>220</v>
      </c>
      <c r="K70">
        <f>_xlfn.RANK.EQ(Data!J70,Data!J70:J569,1)</f>
        <v>43</v>
      </c>
    </row>
    <row r="71" spans="1:11" x14ac:dyDescent="0.25">
      <c r="A71" s="2">
        <v>1071</v>
      </c>
      <c r="B71" s="3">
        <v>45727</v>
      </c>
      <c r="C71" s="2" t="s">
        <v>14</v>
      </c>
      <c r="D71" s="2" t="s">
        <v>27</v>
      </c>
      <c r="E71" s="2" t="s">
        <v>12</v>
      </c>
      <c r="F71" s="2" t="s">
        <v>34</v>
      </c>
      <c r="G71" s="2">
        <v>14</v>
      </c>
      <c r="H71" s="2">
        <v>100</v>
      </c>
      <c r="I71" s="2">
        <v>0.05</v>
      </c>
      <c r="J71" s="2">
        <f t="shared" si="1"/>
        <v>1330</v>
      </c>
      <c r="K71">
        <f>_xlfn.RANK.EQ(Data!J71,Data!J71:J570,1)</f>
        <v>136</v>
      </c>
    </row>
    <row r="72" spans="1:11" x14ac:dyDescent="0.25">
      <c r="A72" s="2">
        <v>1072</v>
      </c>
      <c r="B72" s="3">
        <v>45728</v>
      </c>
      <c r="C72" s="2" t="s">
        <v>18</v>
      </c>
      <c r="D72" s="2" t="s">
        <v>29</v>
      </c>
      <c r="E72" s="2" t="s">
        <v>16</v>
      </c>
      <c r="F72" s="2" t="s">
        <v>35</v>
      </c>
      <c r="G72" s="2">
        <v>17</v>
      </c>
      <c r="H72" s="2">
        <v>50</v>
      </c>
      <c r="I72" s="2">
        <v>0.1</v>
      </c>
      <c r="J72" s="2">
        <f t="shared" si="1"/>
        <v>765</v>
      </c>
      <c r="K72">
        <f>_xlfn.RANK.EQ(Data!J72,Data!J72:J571,1)</f>
        <v>114</v>
      </c>
    </row>
    <row r="73" spans="1:11" x14ac:dyDescent="0.25">
      <c r="A73" s="2">
        <v>1073</v>
      </c>
      <c r="B73" s="3">
        <v>45729</v>
      </c>
      <c r="C73" s="2" t="s">
        <v>22</v>
      </c>
      <c r="D73" s="2" t="s">
        <v>31</v>
      </c>
      <c r="E73" s="2" t="s">
        <v>20</v>
      </c>
      <c r="F73" s="2" t="s">
        <v>36</v>
      </c>
      <c r="G73" s="2">
        <v>20</v>
      </c>
      <c r="H73" s="2">
        <v>30</v>
      </c>
      <c r="I73" s="2">
        <v>0.15</v>
      </c>
      <c r="J73" s="2">
        <f t="shared" si="1"/>
        <v>510</v>
      </c>
      <c r="K73">
        <f>_xlfn.RANK.EQ(Data!J73,Data!J73:J572,1)</f>
        <v>92</v>
      </c>
    </row>
    <row r="74" spans="1:11" x14ac:dyDescent="0.25">
      <c r="A74" s="2">
        <v>1074</v>
      </c>
      <c r="B74" s="3">
        <v>45730</v>
      </c>
      <c r="C74" s="2" t="s">
        <v>10</v>
      </c>
      <c r="D74" s="2" t="s">
        <v>11</v>
      </c>
      <c r="E74" s="2" t="s">
        <v>12</v>
      </c>
      <c r="F74" s="2" t="s">
        <v>13</v>
      </c>
      <c r="G74" s="2">
        <v>3</v>
      </c>
      <c r="H74" s="2">
        <v>50000</v>
      </c>
      <c r="I74" s="2">
        <v>0</v>
      </c>
      <c r="J74" s="2">
        <f t="shared" si="1"/>
        <v>150000</v>
      </c>
      <c r="K74">
        <f>_xlfn.RANK.EQ(Data!J74,Data!J74:J573,1)</f>
        <v>372</v>
      </c>
    </row>
    <row r="75" spans="1:11" x14ac:dyDescent="0.25">
      <c r="A75" s="2">
        <v>1075</v>
      </c>
      <c r="B75" s="3">
        <v>45731</v>
      </c>
      <c r="C75" s="2" t="s">
        <v>14</v>
      </c>
      <c r="D75" s="2" t="s">
        <v>15</v>
      </c>
      <c r="E75" s="2" t="s">
        <v>16</v>
      </c>
      <c r="F75" s="2" t="s">
        <v>17</v>
      </c>
      <c r="G75" s="2">
        <v>6</v>
      </c>
      <c r="H75" s="2">
        <v>500</v>
      </c>
      <c r="I75" s="2">
        <v>0.05</v>
      </c>
      <c r="J75" s="2">
        <f t="shared" si="1"/>
        <v>2850</v>
      </c>
      <c r="K75">
        <f>_xlfn.RANK.EQ(Data!J75,Data!J75:J574,1)</f>
        <v>155</v>
      </c>
    </row>
    <row r="76" spans="1:11" x14ac:dyDescent="0.25">
      <c r="A76" s="2">
        <v>1076</v>
      </c>
      <c r="B76" s="3">
        <v>45732</v>
      </c>
      <c r="C76" s="2" t="s">
        <v>18</v>
      </c>
      <c r="D76" s="2" t="s">
        <v>19</v>
      </c>
      <c r="E76" s="2" t="s">
        <v>20</v>
      </c>
      <c r="F76" s="2" t="s">
        <v>21</v>
      </c>
      <c r="G76" s="2">
        <v>9</v>
      </c>
      <c r="H76" s="2">
        <v>1500</v>
      </c>
      <c r="I76" s="2">
        <v>0.1</v>
      </c>
      <c r="J76" s="2">
        <f t="shared" si="1"/>
        <v>12150</v>
      </c>
      <c r="K76">
        <f>_xlfn.RANK.EQ(Data!J76,Data!J76:J575,1)</f>
        <v>205</v>
      </c>
    </row>
    <row r="77" spans="1:11" x14ac:dyDescent="0.25">
      <c r="A77" s="2">
        <v>1077</v>
      </c>
      <c r="B77" s="3">
        <v>45733</v>
      </c>
      <c r="C77" s="2" t="s">
        <v>22</v>
      </c>
      <c r="D77" s="2" t="s">
        <v>23</v>
      </c>
      <c r="E77" s="2" t="s">
        <v>12</v>
      </c>
      <c r="F77" s="2" t="s">
        <v>24</v>
      </c>
      <c r="G77" s="2">
        <v>12</v>
      </c>
      <c r="H77" s="2">
        <v>12000</v>
      </c>
      <c r="I77" s="2">
        <v>0.15</v>
      </c>
      <c r="J77" s="2">
        <f t="shared" si="1"/>
        <v>122400</v>
      </c>
      <c r="K77">
        <f>_xlfn.RANK.EQ(Data!J77,Data!J77:J576,1)</f>
        <v>354</v>
      </c>
    </row>
    <row r="78" spans="1:11" x14ac:dyDescent="0.25">
      <c r="A78" s="2">
        <v>1078</v>
      </c>
      <c r="B78" s="3">
        <v>45734</v>
      </c>
      <c r="C78" s="2" t="s">
        <v>10</v>
      </c>
      <c r="D78" s="2" t="s">
        <v>25</v>
      </c>
      <c r="E78" s="2" t="s">
        <v>16</v>
      </c>
      <c r="F78" s="2" t="s">
        <v>26</v>
      </c>
      <c r="G78" s="2">
        <v>15</v>
      </c>
      <c r="H78" s="2">
        <v>4000</v>
      </c>
      <c r="I78" s="2">
        <v>0</v>
      </c>
      <c r="J78" s="2">
        <f t="shared" si="1"/>
        <v>60000</v>
      </c>
      <c r="K78">
        <f>_xlfn.RANK.EQ(Data!J78,Data!J78:J577,1)</f>
        <v>283</v>
      </c>
    </row>
    <row r="79" spans="1:11" x14ac:dyDescent="0.25">
      <c r="A79" s="2">
        <v>1079</v>
      </c>
      <c r="B79" s="3">
        <v>45735</v>
      </c>
      <c r="C79" s="2" t="s">
        <v>14</v>
      </c>
      <c r="D79" s="2" t="s">
        <v>27</v>
      </c>
      <c r="E79" s="2" t="s">
        <v>20</v>
      </c>
      <c r="F79" s="2" t="s">
        <v>28</v>
      </c>
      <c r="G79" s="2">
        <v>18</v>
      </c>
      <c r="H79" s="2">
        <v>8000</v>
      </c>
      <c r="I79" s="2">
        <v>0.05</v>
      </c>
      <c r="J79" s="2">
        <f t="shared" si="1"/>
        <v>136800</v>
      </c>
      <c r="K79">
        <f>_xlfn.RANK.EQ(Data!J79,Data!J79:J578,1)</f>
        <v>360</v>
      </c>
    </row>
    <row r="80" spans="1:11" x14ac:dyDescent="0.25">
      <c r="A80" s="2">
        <v>1080</v>
      </c>
      <c r="B80" s="3">
        <v>45736</v>
      </c>
      <c r="C80" s="2" t="s">
        <v>18</v>
      </c>
      <c r="D80" s="2" t="s">
        <v>29</v>
      </c>
      <c r="E80" s="2" t="s">
        <v>12</v>
      </c>
      <c r="F80" s="2" t="s">
        <v>30</v>
      </c>
      <c r="G80" s="2">
        <v>1</v>
      </c>
      <c r="H80" s="2">
        <v>10000</v>
      </c>
      <c r="I80" s="2">
        <v>0.1</v>
      </c>
      <c r="J80" s="2">
        <f t="shared" si="1"/>
        <v>9000</v>
      </c>
      <c r="K80">
        <f>_xlfn.RANK.EQ(Data!J80,Data!J80:J579,1)</f>
        <v>190</v>
      </c>
    </row>
    <row r="81" spans="1:11" x14ac:dyDescent="0.25">
      <c r="A81" s="2">
        <v>1081</v>
      </c>
      <c r="B81" s="3">
        <v>45737</v>
      </c>
      <c r="C81" s="2" t="s">
        <v>22</v>
      </c>
      <c r="D81" s="2" t="s">
        <v>31</v>
      </c>
      <c r="E81" s="2" t="s">
        <v>16</v>
      </c>
      <c r="F81" s="2" t="s">
        <v>32</v>
      </c>
      <c r="G81" s="2">
        <v>4</v>
      </c>
      <c r="H81" s="2">
        <v>6000</v>
      </c>
      <c r="I81" s="2">
        <v>0.15</v>
      </c>
      <c r="J81" s="2">
        <f t="shared" si="1"/>
        <v>20400</v>
      </c>
      <c r="K81">
        <f>_xlfn.RANK.EQ(Data!J81,Data!J81:J580,1)</f>
        <v>225</v>
      </c>
    </row>
    <row r="82" spans="1:11" x14ac:dyDescent="0.25">
      <c r="A82" s="2">
        <v>1082</v>
      </c>
      <c r="B82" s="3">
        <v>45738</v>
      </c>
      <c r="C82" s="2" t="s">
        <v>10</v>
      </c>
      <c r="D82" s="2" t="s">
        <v>11</v>
      </c>
      <c r="E82" s="2" t="s">
        <v>20</v>
      </c>
      <c r="F82" s="2" t="s">
        <v>33</v>
      </c>
      <c r="G82" s="2">
        <v>7</v>
      </c>
      <c r="H82" s="2">
        <v>20</v>
      </c>
      <c r="I82" s="2">
        <v>0</v>
      </c>
      <c r="J82" s="2">
        <f t="shared" si="1"/>
        <v>140</v>
      </c>
      <c r="K82">
        <f>_xlfn.RANK.EQ(Data!J82,Data!J82:J581,1)</f>
        <v>22</v>
      </c>
    </row>
    <row r="83" spans="1:11" x14ac:dyDescent="0.25">
      <c r="A83" s="2">
        <v>1083</v>
      </c>
      <c r="B83" s="3">
        <v>45739</v>
      </c>
      <c r="C83" s="2" t="s">
        <v>14</v>
      </c>
      <c r="D83" s="2" t="s">
        <v>15</v>
      </c>
      <c r="E83" s="2" t="s">
        <v>12</v>
      </c>
      <c r="F83" s="2" t="s">
        <v>34</v>
      </c>
      <c r="G83" s="2">
        <v>10</v>
      </c>
      <c r="H83" s="2">
        <v>100</v>
      </c>
      <c r="I83" s="2">
        <v>0.05</v>
      </c>
      <c r="J83" s="2">
        <f t="shared" si="1"/>
        <v>950</v>
      </c>
      <c r="K83">
        <f>_xlfn.RANK.EQ(Data!J83,Data!J83:J582,1)</f>
        <v>119</v>
      </c>
    </row>
    <row r="84" spans="1:11" x14ac:dyDescent="0.25">
      <c r="A84" s="2">
        <v>1084</v>
      </c>
      <c r="B84" s="3">
        <v>45740</v>
      </c>
      <c r="C84" s="2" t="s">
        <v>18</v>
      </c>
      <c r="D84" s="2" t="s">
        <v>19</v>
      </c>
      <c r="E84" s="2" t="s">
        <v>16</v>
      </c>
      <c r="F84" s="2" t="s">
        <v>35</v>
      </c>
      <c r="G84" s="2">
        <v>13</v>
      </c>
      <c r="H84" s="2">
        <v>50</v>
      </c>
      <c r="I84" s="2">
        <v>0.1</v>
      </c>
      <c r="J84" s="2">
        <f t="shared" si="1"/>
        <v>585</v>
      </c>
      <c r="K84">
        <f>_xlfn.RANK.EQ(Data!J84,Data!J84:J583,1)</f>
        <v>105</v>
      </c>
    </row>
    <row r="85" spans="1:11" x14ac:dyDescent="0.25">
      <c r="A85" s="2">
        <v>1085</v>
      </c>
      <c r="B85" s="3">
        <v>45741</v>
      </c>
      <c r="C85" s="2" t="s">
        <v>22</v>
      </c>
      <c r="D85" s="2" t="s">
        <v>23</v>
      </c>
      <c r="E85" s="2" t="s">
        <v>20</v>
      </c>
      <c r="F85" s="2" t="s">
        <v>36</v>
      </c>
      <c r="G85" s="2">
        <v>16</v>
      </c>
      <c r="H85" s="2">
        <v>30</v>
      </c>
      <c r="I85" s="2">
        <v>0.15</v>
      </c>
      <c r="J85" s="2">
        <f t="shared" si="1"/>
        <v>408</v>
      </c>
      <c r="K85">
        <f>_xlfn.RANK.EQ(Data!J85,Data!J85:J584,1)</f>
        <v>84</v>
      </c>
    </row>
    <row r="86" spans="1:11" x14ac:dyDescent="0.25">
      <c r="A86" s="2">
        <v>1086</v>
      </c>
      <c r="B86" s="3">
        <v>45742</v>
      </c>
      <c r="C86" s="2" t="s">
        <v>10</v>
      </c>
      <c r="D86" s="2" t="s">
        <v>25</v>
      </c>
      <c r="E86" s="2" t="s">
        <v>12</v>
      </c>
      <c r="F86" s="2" t="s">
        <v>13</v>
      </c>
      <c r="G86" s="2">
        <v>19</v>
      </c>
      <c r="H86" s="2">
        <v>50000</v>
      </c>
      <c r="I86" s="2">
        <v>0</v>
      </c>
      <c r="J86" s="2">
        <f t="shared" si="1"/>
        <v>950000</v>
      </c>
      <c r="K86">
        <f>_xlfn.RANK.EQ(Data!J86,Data!J86:J585,1)</f>
        <v>410</v>
      </c>
    </row>
    <row r="87" spans="1:11" x14ac:dyDescent="0.25">
      <c r="A87" s="2">
        <v>1087</v>
      </c>
      <c r="B87" s="3">
        <v>45743</v>
      </c>
      <c r="C87" s="2" t="s">
        <v>14</v>
      </c>
      <c r="D87" s="2" t="s">
        <v>27</v>
      </c>
      <c r="E87" s="2" t="s">
        <v>16</v>
      </c>
      <c r="F87" s="2" t="s">
        <v>17</v>
      </c>
      <c r="G87" s="2">
        <v>2</v>
      </c>
      <c r="H87" s="2">
        <v>500</v>
      </c>
      <c r="I87" s="2">
        <v>0.05</v>
      </c>
      <c r="J87" s="2">
        <f t="shared" si="1"/>
        <v>950</v>
      </c>
      <c r="K87">
        <f>_xlfn.RANK.EQ(Data!J87,Data!J87:J586,1)</f>
        <v>117</v>
      </c>
    </row>
    <row r="88" spans="1:11" x14ac:dyDescent="0.25">
      <c r="A88" s="2">
        <v>1088</v>
      </c>
      <c r="B88" s="3">
        <v>45744</v>
      </c>
      <c r="C88" s="2" t="s">
        <v>18</v>
      </c>
      <c r="D88" s="2" t="s">
        <v>29</v>
      </c>
      <c r="E88" s="2" t="s">
        <v>20</v>
      </c>
      <c r="F88" s="2" t="s">
        <v>21</v>
      </c>
      <c r="G88" s="2">
        <v>5</v>
      </c>
      <c r="H88" s="2">
        <v>1500</v>
      </c>
      <c r="I88" s="2">
        <v>0.1</v>
      </c>
      <c r="J88" s="2">
        <f t="shared" si="1"/>
        <v>6750</v>
      </c>
      <c r="K88">
        <f>_xlfn.RANK.EQ(Data!J88,Data!J88:J587,1)</f>
        <v>171</v>
      </c>
    </row>
    <row r="89" spans="1:11" x14ac:dyDescent="0.25">
      <c r="A89" s="2">
        <v>1089</v>
      </c>
      <c r="B89" s="3">
        <v>45745</v>
      </c>
      <c r="C89" s="2" t="s">
        <v>22</v>
      </c>
      <c r="D89" s="2" t="s">
        <v>31</v>
      </c>
      <c r="E89" s="2" t="s">
        <v>12</v>
      </c>
      <c r="F89" s="2" t="s">
        <v>24</v>
      </c>
      <c r="G89" s="2">
        <v>8</v>
      </c>
      <c r="H89" s="2">
        <v>12000</v>
      </c>
      <c r="I89" s="2">
        <v>0.15</v>
      </c>
      <c r="J89" s="2">
        <f t="shared" si="1"/>
        <v>81600</v>
      </c>
      <c r="K89">
        <f>_xlfn.RANK.EQ(Data!J89,Data!J89:J588,1)</f>
        <v>310</v>
      </c>
    </row>
    <row r="90" spans="1:11" x14ac:dyDescent="0.25">
      <c r="A90" s="2">
        <v>1090</v>
      </c>
      <c r="B90" s="3">
        <v>45746</v>
      </c>
      <c r="C90" s="2" t="s">
        <v>10</v>
      </c>
      <c r="D90" s="2" t="s">
        <v>11</v>
      </c>
      <c r="E90" s="2" t="s">
        <v>16</v>
      </c>
      <c r="F90" s="2" t="s">
        <v>26</v>
      </c>
      <c r="G90" s="2">
        <v>11</v>
      </c>
      <c r="H90" s="2">
        <v>4000</v>
      </c>
      <c r="I90" s="2">
        <v>0</v>
      </c>
      <c r="J90" s="2">
        <f t="shared" si="1"/>
        <v>44000</v>
      </c>
      <c r="K90">
        <f>_xlfn.RANK.EQ(Data!J90,Data!J90:J589,1)</f>
        <v>254</v>
      </c>
    </row>
    <row r="91" spans="1:11" x14ac:dyDescent="0.25">
      <c r="A91" s="2">
        <v>1091</v>
      </c>
      <c r="B91" s="3">
        <v>45747</v>
      </c>
      <c r="C91" s="2" t="s">
        <v>14</v>
      </c>
      <c r="D91" s="2" t="s">
        <v>15</v>
      </c>
      <c r="E91" s="2" t="s">
        <v>20</v>
      </c>
      <c r="F91" s="2" t="s">
        <v>28</v>
      </c>
      <c r="G91" s="2">
        <v>14</v>
      </c>
      <c r="H91" s="2">
        <v>8000</v>
      </c>
      <c r="I91" s="2">
        <v>0.05</v>
      </c>
      <c r="J91" s="2">
        <f t="shared" si="1"/>
        <v>106400</v>
      </c>
      <c r="K91">
        <f>_xlfn.RANK.EQ(Data!J91,Data!J91:J590,1)</f>
        <v>329</v>
      </c>
    </row>
    <row r="92" spans="1:11" x14ac:dyDescent="0.25">
      <c r="A92" s="2">
        <v>1092</v>
      </c>
      <c r="B92" s="3">
        <v>45748</v>
      </c>
      <c r="C92" s="2" t="s">
        <v>18</v>
      </c>
      <c r="D92" s="2" t="s">
        <v>19</v>
      </c>
      <c r="E92" s="2" t="s">
        <v>12</v>
      </c>
      <c r="F92" s="2" t="s">
        <v>30</v>
      </c>
      <c r="G92" s="2">
        <v>17</v>
      </c>
      <c r="H92" s="2">
        <v>10000</v>
      </c>
      <c r="I92" s="2">
        <v>0.1</v>
      </c>
      <c r="J92" s="2">
        <f t="shared" si="1"/>
        <v>153000</v>
      </c>
      <c r="K92">
        <f>_xlfn.RANK.EQ(Data!J92,Data!J92:J591,1)</f>
        <v>363</v>
      </c>
    </row>
    <row r="93" spans="1:11" x14ac:dyDescent="0.25">
      <c r="A93" s="2">
        <v>1093</v>
      </c>
      <c r="B93" s="3">
        <v>45749</v>
      </c>
      <c r="C93" s="2" t="s">
        <v>22</v>
      </c>
      <c r="D93" s="2" t="s">
        <v>23</v>
      </c>
      <c r="E93" s="2" t="s">
        <v>16</v>
      </c>
      <c r="F93" s="2" t="s">
        <v>32</v>
      </c>
      <c r="G93" s="2">
        <v>20</v>
      </c>
      <c r="H93" s="2">
        <v>6000</v>
      </c>
      <c r="I93" s="2">
        <v>0.15</v>
      </c>
      <c r="J93" s="2">
        <f t="shared" si="1"/>
        <v>102000</v>
      </c>
      <c r="K93">
        <f>_xlfn.RANK.EQ(Data!J93,Data!J93:J592,1)</f>
        <v>322</v>
      </c>
    </row>
    <row r="94" spans="1:11" x14ac:dyDescent="0.25">
      <c r="A94" s="2">
        <v>1094</v>
      </c>
      <c r="B94" s="3">
        <v>45750</v>
      </c>
      <c r="C94" s="2" t="s">
        <v>10</v>
      </c>
      <c r="D94" s="2" t="s">
        <v>25</v>
      </c>
      <c r="E94" s="2" t="s">
        <v>20</v>
      </c>
      <c r="F94" s="2" t="s">
        <v>33</v>
      </c>
      <c r="G94" s="2">
        <v>3</v>
      </c>
      <c r="H94" s="2">
        <v>20</v>
      </c>
      <c r="I94" s="2">
        <v>0</v>
      </c>
      <c r="J94" s="2">
        <f t="shared" si="1"/>
        <v>60</v>
      </c>
      <c r="K94">
        <f>_xlfn.RANK.EQ(Data!J94,Data!J94:J593,1)</f>
        <v>8</v>
      </c>
    </row>
    <row r="95" spans="1:11" x14ac:dyDescent="0.25">
      <c r="A95" s="2">
        <v>1095</v>
      </c>
      <c r="B95" s="3">
        <v>45751</v>
      </c>
      <c r="C95" s="2" t="s">
        <v>14</v>
      </c>
      <c r="D95" s="2" t="s">
        <v>27</v>
      </c>
      <c r="E95" s="2" t="s">
        <v>12</v>
      </c>
      <c r="F95" s="2" t="s">
        <v>34</v>
      </c>
      <c r="G95" s="2">
        <v>6</v>
      </c>
      <c r="H95" s="2">
        <v>100</v>
      </c>
      <c r="I95" s="2">
        <v>0.05</v>
      </c>
      <c r="J95" s="2">
        <f t="shared" si="1"/>
        <v>570</v>
      </c>
      <c r="K95">
        <f>_xlfn.RANK.EQ(Data!J95,Data!J95:J594,1)</f>
        <v>96</v>
      </c>
    </row>
    <row r="96" spans="1:11" x14ac:dyDescent="0.25">
      <c r="A96" s="2">
        <v>1096</v>
      </c>
      <c r="B96" s="3">
        <v>45752</v>
      </c>
      <c r="C96" s="2" t="s">
        <v>18</v>
      </c>
      <c r="D96" s="2" t="s">
        <v>29</v>
      </c>
      <c r="E96" s="2" t="s">
        <v>16</v>
      </c>
      <c r="F96" s="2" t="s">
        <v>35</v>
      </c>
      <c r="G96" s="2">
        <v>9</v>
      </c>
      <c r="H96" s="2">
        <v>50</v>
      </c>
      <c r="I96" s="2">
        <v>0.1</v>
      </c>
      <c r="J96" s="2">
        <f t="shared" si="1"/>
        <v>405</v>
      </c>
      <c r="K96">
        <f>_xlfn.RANK.EQ(Data!J96,Data!J96:J595,1)</f>
        <v>76</v>
      </c>
    </row>
    <row r="97" spans="1:11" x14ac:dyDescent="0.25">
      <c r="A97" s="2">
        <v>1097</v>
      </c>
      <c r="B97" s="3">
        <v>45753</v>
      </c>
      <c r="C97" s="2" t="s">
        <v>22</v>
      </c>
      <c r="D97" s="2" t="s">
        <v>31</v>
      </c>
      <c r="E97" s="2" t="s">
        <v>20</v>
      </c>
      <c r="F97" s="2" t="s">
        <v>36</v>
      </c>
      <c r="G97" s="2">
        <v>12</v>
      </c>
      <c r="H97" s="2">
        <v>30</v>
      </c>
      <c r="I97" s="2">
        <v>0.15</v>
      </c>
      <c r="J97" s="2">
        <f t="shared" si="1"/>
        <v>306</v>
      </c>
      <c r="K97">
        <f>_xlfn.RANK.EQ(Data!J97,Data!J97:J596,1)</f>
        <v>62</v>
      </c>
    </row>
    <row r="98" spans="1:11" x14ac:dyDescent="0.25">
      <c r="A98" s="2">
        <v>1098</v>
      </c>
      <c r="B98" s="3">
        <v>45754</v>
      </c>
      <c r="C98" s="2" t="s">
        <v>10</v>
      </c>
      <c r="D98" s="2" t="s">
        <v>11</v>
      </c>
      <c r="E98" s="2" t="s">
        <v>12</v>
      </c>
      <c r="F98" s="2" t="s">
        <v>13</v>
      </c>
      <c r="G98" s="2">
        <v>15</v>
      </c>
      <c r="H98" s="2">
        <v>50000</v>
      </c>
      <c r="I98" s="2">
        <v>0</v>
      </c>
      <c r="J98" s="2">
        <f t="shared" si="1"/>
        <v>750000</v>
      </c>
      <c r="K98">
        <f>_xlfn.RANK.EQ(Data!J98,Data!J98:J597,1)</f>
        <v>392</v>
      </c>
    </row>
    <row r="99" spans="1:11" x14ac:dyDescent="0.25">
      <c r="A99" s="2">
        <v>1099</v>
      </c>
      <c r="B99" s="3">
        <v>45755</v>
      </c>
      <c r="C99" s="2" t="s">
        <v>14</v>
      </c>
      <c r="D99" s="2" t="s">
        <v>15</v>
      </c>
      <c r="E99" s="2" t="s">
        <v>16</v>
      </c>
      <c r="F99" s="2" t="s">
        <v>17</v>
      </c>
      <c r="G99" s="2">
        <v>18</v>
      </c>
      <c r="H99" s="2">
        <v>500</v>
      </c>
      <c r="I99" s="2">
        <v>0.05</v>
      </c>
      <c r="J99" s="2">
        <f t="shared" si="1"/>
        <v>8550</v>
      </c>
      <c r="K99">
        <f>_xlfn.RANK.EQ(Data!J99,Data!J99:J598,1)</f>
        <v>173</v>
      </c>
    </row>
    <row r="100" spans="1:11" x14ac:dyDescent="0.25">
      <c r="A100" s="2">
        <v>1100</v>
      </c>
      <c r="B100" s="3">
        <v>45756</v>
      </c>
      <c r="C100" s="2" t="s">
        <v>18</v>
      </c>
      <c r="D100" s="2" t="s">
        <v>19</v>
      </c>
      <c r="E100" s="2" t="s">
        <v>20</v>
      </c>
      <c r="F100" s="2" t="s">
        <v>21</v>
      </c>
      <c r="G100" s="2">
        <v>1</v>
      </c>
      <c r="H100" s="2">
        <v>1500</v>
      </c>
      <c r="I100" s="2">
        <v>0.1</v>
      </c>
      <c r="J100" s="2">
        <f t="shared" si="1"/>
        <v>1350</v>
      </c>
      <c r="K100">
        <f>_xlfn.RANK.EQ(Data!J100,Data!J100:J599,1)</f>
        <v>132</v>
      </c>
    </row>
    <row r="101" spans="1:11" x14ac:dyDescent="0.25">
      <c r="A101" s="2">
        <v>1101</v>
      </c>
      <c r="B101" s="3">
        <v>45757</v>
      </c>
      <c r="C101" s="2" t="s">
        <v>22</v>
      </c>
      <c r="D101" s="2" t="s">
        <v>23</v>
      </c>
      <c r="E101" s="2" t="s">
        <v>12</v>
      </c>
      <c r="F101" s="2" t="s">
        <v>24</v>
      </c>
      <c r="G101" s="2">
        <v>4</v>
      </c>
      <c r="H101" s="2">
        <v>12000</v>
      </c>
      <c r="I101" s="2">
        <v>0.15</v>
      </c>
      <c r="J101" s="2">
        <f t="shared" si="1"/>
        <v>40800</v>
      </c>
      <c r="K101">
        <f>_xlfn.RANK.EQ(Data!J101,Data!J101:J600,1)</f>
        <v>234</v>
      </c>
    </row>
    <row r="102" spans="1:11" x14ac:dyDescent="0.25">
      <c r="A102" s="2">
        <v>1102</v>
      </c>
      <c r="B102" s="3">
        <v>45758</v>
      </c>
      <c r="C102" s="2" t="s">
        <v>10</v>
      </c>
      <c r="D102" s="2" t="s">
        <v>25</v>
      </c>
      <c r="E102" s="2" t="s">
        <v>16</v>
      </c>
      <c r="F102" s="2" t="s">
        <v>26</v>
      </c>
      <c r="G102" s="2">
        <v>7</v>
      </c>
      <c r="H102" s="2">
        <v>4000</v>
      </c>
      <c r="I102" s="2">
        <v>0</v>
      </c>
      <c r="J102" s="2">
        <f t="shared" si="1"/>
        <v>28000</v>
      </c>
      <c r="K102">
        <f>_xlfn.RANK.EQ(Data!J102,Data!J102:J601,1)</f>
        <v>227</v>
      </c>
    </row>
    <row r="103" spans="1:11" x14ac:dyDescent="0.25">
      <c r="A103" s="2">
        <v>1103</v>
      </c>
      <c r="B103" s="3">
        <v>45759</v>
      </c>
      <c r="C103" s="2" t="s">
        <v>14</v>
      </c>
      <c r="D103" s="2" t="s">
        <v>27</v>
      </c>
      <c r="E103" s="2" t="s">
        <v>20</v>
      </c>
      <c r="F103" s="2" t="s">
        <v>28</v>
      </c>
      <c r="G103" s="2">
        <v>10</v>
      </c>
      <c r="H103" s="2">
        <v>8000</v>
      </c>
      <c r="I103" s="2">
        <v>0.05</v>
      </c>
      <c r="J103" s="2">
        <f t="shared" si="1"/>
        <v>76000</v>
      </c>
      <c r="K103">
        <f>_xlfn.RANK.EQ(Data!J103,Data!J103:J602,1)</f>
        <v>280</v>
      </c>
    </row>
    <row r="104" spans="1:11" x14ac:dyDescent="0.25">
      <c r="A104" s="2">
        <v>1104</v>
      </c>
      <c r="B104" s="3">
        <v>45760</v>
      </c>
      <c r="C104" s="2" t="s">
        <v>18</v>
      </c>
      <c r="D104" s="2" t="s">
        <v>29</v>
      </c>
      <c r="E104" s="2" t="s">
        <v>12</v>
      </c>
      <c r="F104" s="2" t="s">
        <v>30</v>
      </c>
      <c r="G104" s="2">
        <v>13</v>
      </c>
      <c r="H104" s="2">
        <v>10000</v>
      </c>
      <c r="I104" s="2">
        <v>0.1</v>
      </c>
      <c r="J104" s="2">
        <f t="shared" si="1"/>
        <v>117000</v>
      </c>
      <c r="K104">
        <f>_xlfn.RANK.EQ(Data!J104,Data!J104:J603,1)</f>
        <v>325</v>
      </c>
    </row>
    <row r="105" spans="1:11" x14ac:dyDescent="0.25">
      <c r="A105" s="2">
        <v>1105</v>
      </c>
      <c r="B105" s="3">
        <v>45761</v>
      </c>
      <c r="C105" s="2" t="s">
        <v>22</v>
      </c>
      <c r="D105" s="2" t="s">
        <v>31</v>
      </c>
      <c r="E105" s="2" t="s">
        <v>16</v>
      </c>
      <c r="F105" s="2" t="s">
        <v>32</v>
      </c>
      <c r="G105" s="2">
        <v>16</v>
      </c>
      <c r="H105" s="2">
        <v>6000</v>
      </c>
      <c r="I105" s="2">
        <v>0.15</v>
      </c>
      <c r="J105" s="2">
        <f t="shared" si="1"/>
        <v>81600</v>
      </c>
      <c r="K105">
        <f>_xlfn.RANK.EQ(Data!J105,Data!J105:J604,1)</f>
        <v>300</v>
      </c>
    </row>
    <row r="106" spans="1:11" x14ac:dyDescent="0.25">
      <c r="A106" s="2">
        <v>1106</v>
      </c>
      <c r="B106" s="3">
        <v>45762</v>
      </c>
      <c r="C106" s="2" t="s">
        <v>10</v>
      </c>
      <c r="D106" s="2" t="s">
        <v>11</v>
      </c>
      <c r="E106" s="2" t="s">
        <v>20</v>
      </c>
      <c r="F106" s="2" t="s">
        <v>33</v>
      </c>
      <c r="G106" s="2">
        <v>19</v>
      </c>
      <c r="H106" s="2">
        <v>20</v>
      </c>
      <c r="I106" s="2">
        <v>0</v>
      </c>
      <c r="J106" s="2">
        <f t="shared" si="1"/>
        <v>380</v>
      </c>
      <c r="K106">
        <f>_xlfn.RANK.EQ(Data!J106,Data!J106:J605,1)</f>
        <v>68</v>
      </c>
    </row>
    <row r="107" spans="1:11" x14ac:dyDescent="0.25">
      <c r="A107" s="2">
        <v>1107</v>
      </c>
      <c r="B107" s="3">
        <v>45763</v>
      </c>
      <c r="C107" s="2" t="s">
        <v>14</v>
      </c>
      <c r="D107" s="2" t="s">
        <v>15</v>
      </c>
      <c r="E107" s="2" t="s">
        <v>12</v>
      </c>
      <c r="F107" s="2" t="s">
        <v>34</v>
      </c>
      <c r="G107" s="2">
        <v>2</v>
      </c>
      <c r="H107" s="2">
        <v>100</v>
      </c>
      <c r="I107" s="2">
        <v>0.05</v>
      </c>
      <c r="J107" s="2">
        <f t="shared" si="1"/>
        <v>190</v>
      </c>
      <c r="K107">
        <f>_xlfn.RANK.EQ(Data!J107,Data!J107:J606,1)</f>
        <v>27</v>
      </c>
    </row>
    <row r="108" spans="1:11" x14ac:dyDescent="0.25">
      <c r="A108" s="2">
        <v>1108</v>
      </c>
      <c r="B108" s="3">
        <v>45764</v>
      </c>
      <c r="C108" s="2" t="s">
        <v>18</v>
      </c>
      <c r="D108" s="2" t="s">
        <v>19</v>
      </c>
      <c r="E108" s="2" t="s">
        <v>16</v>
      </c>
      <c r="F108" s="2" t="s">
        <v>35</v>
      </c>
      <c r="G108" s="2">
        <v>5</v>
      </c>
      <c r="H108" s="2">
        <v>50</v>
      </c>
      <c r="I108" s="2">
        <v>0.1</v>
      </c>
      <c r="J108" s="2">
        <f t="shared" si="1"/>
        <v>225</v>
      </c>
      <c r="K108">
        <f>_xlfn.RANK.EQ(Data!J108,Data!J108:J607,1)</f>
        <v>47</v>
      </c>
    </row>
    <row r="109" spans="1:11" x14ac:dyDescent="0.25">
      <c r="A109" s="2">
        <v>1109</v>
      </c>
      <c r="B109" s="3">
        <v>45765</v>
      </c>
      <c r="C109" s="2" t="s">
        <v>22</v>
      </c>
      <c r="D109" s="2" t="s">
        <v>23</v>
      </c>
      <c r="E109" s="2" t="s">
        <v>20</v>
      </c>
      <c r="F109" s="2" t="s">
        <v>36</v>
      </c>
      <c r="G109" s="2">
        <v>8</v>
      </c>
      <c r="H109" s="2">
        <v>30</v>
      </c>
      <c r="I109" s="2">
        <v>0.15</v>
      </c>
      <c r="J109" s="2">
        <f t="shared" si="1"/>
        <v>204</v>
      </c>
      <c r="K109">
        <f>_xlfn.RANK.EQ(Data!J109,Data!J109:J608,1)</f>
        <v>33</v>
      </c>
    </row>
    <row r="110" spans="1:11" x14ac:dyDescent="0.25">
      <c r="A110" s="2">
        <v>1110</v>
      </c>
      <c r="B110" s="3">
        <v>45766</v>
      </c>
      <c r="C110" s="2" t="s">
        <v>10</v>
      </c>
      <c r="D110" s="2" t="s">
        <v>25</v>
      </c>
      <c r="E110" s="2" t="s">
        <v>12</v>
      </c>
      <c r="F110" s="2" t="s">
        <v>13</v>
      </c>
      <c r="G110" s="2">
        <v>11</v>
      </c>
      <c r="H110" s="2">
        <v>50000</v>
      </c>
      <c r="I110" s="2">
        <v>0</v>
      </c>
      <c r="J110" s="2">
        <f t="shared" si="1"/>
        <v>550000</v>
      </c>
      <c r="K110">
        <f>_xlfn.RANK.EQ(Data!J110,Data!J110:J609,1)</f>
        <v>374</v>
      </c>
    </row>
    <row r="111" spans="1:11" x14ac:dyDescent="0.25">
      <c r="A111" s="2">
        <v>1111</v>
      </c>
      <c r="B111" s="3">
        <v>45767</v>
      </c>
      <c r="C111" s="2" t="s">
        <v>14</v>
      </c>
      <c r="D111" s="2" t="s">
        <v>27</v>
      </c>
      <c r="E111" s="2" t="s">
        <v>16</v>
      </c>
      <c r="F111" s="2" t="s">
        <v>17</v>
      </c>
      <c r="G111" s="2">
        <v>14</v>
      </c>
      <c r="H111" s="2">
        <v>500</v>
      </c>
      <c r="I111" s="2">
        <v>0.05</v>
      </c>
      <c r="J111" s="2">
        <f t="shared" si="1"/>
        <v>6650</v>
      </c>
      <c r="K111">
        <f>_xlfn.RANK.EQ(Data!J111,Data!J111:J610,1)</f>
        <v>155</v>
      </c>
    </row>
    <row r="112" spans="1:11" x14ac:dyDescent="0.25">
      <c r="A112" s="2">
        <v>1112</v>
      </c>
      <c r="B112" s="3">
        <v>45768</v>
      </c>
      <c r="C112" s="2" t="s">
        <v>18</v>
      </c>
      <c r="D112" s="2" t="s">
        <v>29</v>
      </c>
      <c r="E112" s="2" t="s">
        <v>20</v>
      </c>
      <c r="F112" s="2" t="s">
        <v>21</v>
      </c>
      <c r="G112" s="2">
        <v>17</v>
      </c>
      <c r="H112" s="2">
        <v>1500</v>
      </c>
      <c r="I112" s="2">
        <v>0.1</v>
      </c>
      <c r="J112" s="2">
        <f t="shared" si="1"/>
        <v>22950</v>
      </c>
      <c r="K112">
        <f>_xlfn.RANK.EQ(Data!J112,Data!J112:J611,1)</f>
        <v>215</v>
      </c>
    </row>
    <row r="113" spans="1:11" x14ac:dyDescent="0.25">
      <c r="A113" s="2">
        <v>1113</v>
      </c>
      <c r="B113" s="3">
        <v>45769</v>
      </c>
      <c r="C113" s="2" t="s">
        <v>22</v>
      </c>
      <c r="D113" s="2" t="s">
        <v>31</v>
      </c>
      <c r="E113" s="2" t="s">
        <v>12</v>
      </c>
      <c r="F113" s="2" t="s">
        <v>24</v>
      </c>
      <c r="G113" s="2">
        <v>20</v>
      </c>
      <c r="H113" s="2">
        <v>12000</v>
      </c>
      <c r="I113" s="2">
        <v>0.15</v>
      </c>
      <c r="J113" s="2">
        <f t="shared" si="1"/>
        <v>204000</v>
      </c>
      <c r="K113">
        <f>_xlfn.RANK.EQ(Data!J113,Data!J113:J612,1)</f>
        <v>358</v>
      </c>
    </row>
    <row r="114" spans="1:11" x14ac:dyDescent="0.25">
      <c r="A114" s="2">
        <v>1114</v>
      </c>
      <c r="B114" s="3">
        <v>45770</v>
      </c>
      <c r="C114" s="2" t="s">
        <v>10</v>
      </c>
      <c r="D114" s="2" t="s">
        <v>11</v>
      </c>
      <c r="E114" s="2" t="s">
        <v>16</v>
      </c>
      <c r="F114" s="2" t="s">
        <v>26</v>
      </c>
      <c r="G114" s="2">
        <v>3</v>
      </c>
      <c r="H114" s="2">
        <v>4000</v>
      </c>
      <c r="I114" s="2">
        <v>0</v>
      </c>
      <c r="J114" s="2">
        <f t="shared" si="1"/>
        <v>12000</v>
      </c>
      <c r="K114">
        <f>_xlfn.RANK.EQ(Data!J114,Data!J114:J613,1)</f>
        <v>180</v>
      </c>
    </row>
    <row r="115" spans="1:11" x14ac:dyDescent="0.25">
      <c r="A115" s="2">
        <v>1115</v>
      </c>
      <c r="B115" s="3">
        <v>45771</v>
      </c>
      <c r="C115" s="2" t="s">
        <v>14</v>
      </c>
      <c r="D115" s="2" t="s">
        <v>15</v>
      </c>
      <c r="E115" s="2" t="s">
        <v>20</v>
      </c>
      <c r="F115" s="2" t="s">
        <v>28</v>
      </c>
      <c r="G115" s="2">
        <v>6</v>
      </c>
      <c r="H115" s="2">
        <v>8000</v>
      </c>
      <c r="I115" s="2">
        <v>0.05</v>
      </c>
      <c r="J115" s="2">
        <f t="shared" si="1"/>
        <v>45600</v>
      </c>
      <c r="K115">
        <f>_xlfn.RANK.EQ(Data!J115,Data!J115:J614,1)</f>
        <v>252</v>
      </c>
    </row>
    <row r="116" spans="1:11" x14ac:dyDescent="0.25">
      <c r="A116" s="2">
        <v>1116</v>
      </c>
      <c r="B116" s="3">
        <v>45772</v>
      </c>
      <c r="C116" s="2" t="s">
        <v>18</v>
      </c>
      <c r="D116" s="2" t="s">
        <v>19</v>
      </c>
      <c r="E116" s="2" t="s">
        <v>12</v>
      </c>
      <c r="F116" s="2" t="s">
        <v>30</v>
      </c>
      <c r="G116" s="2">
        <v>9</v>
      </c>
      <c r="H116" s="2">
        <v>10000</v>
      </c>
      <c r="I116" s="2">
        <v>0.1</v>
      </c>
      <c r="J116" s="2">
        <f t="shared" si="1"/>
        <v>81000</v>
      </c>
      <c r="K116">
        <f>_xlfn.RANK.EQ(Data!J116,Data!J116:J615,1)</f>
        <v>285</v>
      </c>
    </row>
    <row r="117" spans="1:11" x14ac:dyDescent="0.25">
      <c r="A117" s="2">
        <v>1117</v>
      </c>
      <c r="B117" s="3">
        <v>45773</v>
      </c>
      <c r="C117" s="2" t="s">
        <v>22</v>
      </c>
      <c r="D117" s="2" t="s">
        <v>23</v>
      </c>
      <c r="E117" s="2" t="s">
        <v>16</v>
      </c>
      <c r="F117" s="2" t="s">
        <v>32</v>
      </c>
      <c r="G117" s="2">
        <v>12</v>
      </c>
      <c r="H117" s="2">
        <v>6000</v>
      </c>
      <c r="I117" s="2">
        <v>0.15</v>
      </c>
      <c r="J117" s="2">
        <f t="shared" si="1"/>
        <v>61200</v>
      </c>
      <c r="K117">
        <f>_xlfn.RANK.EQ(Data!J117,Data!J117:J616,1)</f>
        <v>265</v>
      </c>
    </row>
    <row r="118" spans="1:11" x14ac:dyDescent="0.25">
      <c r="A118" s="2">
        <v>1118</v>
      </c>
      <c r="B118" s="3">
        <v>45774</v>
      </c>
      <c r="C118" s="2" t="s">
        <v>10</v>
      </c>
      <c r="D118" s="2" t="s">
        <v>25</v>
      </c>
      <c r="E118" s="2" t="s">
        <v>20</v>
      </c>
      <c r="F118" s="2" t="s">
        <v>33</v>
      </c>
      <c r="G118" s="2">
        <v>15</v>
      </c>
      <c r="H118" s="2">
        <v>20</v>
      </c>
      <c r="I118" s="2">
        <v>0</v>
      </c>
      <c r="J118" s="2">
        <f t="shared" si="1"/>
        <v>300</v>
      </c>
      <c r="K118">
        <f>_xlfn.RANK.EQ(Data!J118,Data!J118:J617,1)</f>
        <v>52</v>
      </c>
    </row>
    <row r="119" spans="1:11" x14ac:dyDescent="0.25">
      <c r="A119" s="2">
        <v>1119</v>
      </c>
      <c r="B119" s="3">
        <v>45775</v>
      </c>
      <c r="C119" s="2" t="s">
        <v>14</v>
      </c>
      <c r="D119" s="2" t="s">
        <v>27</v>
      </c>
      <c r="E119" s="2" t="s">
        <v>12</v>
      </c>
      <c r="F119" s="2" t="s">
        <v>34</v>
      </c>
      <c r="G119" s="2">
        <v>18</v>
      </c>
      <c r="H119" s="2">
        <v>100</v>
      </c>
      <c r="I119" s="2">
        <v>0.05</v>
      </c>
      <c r="J119" s="2">
        <f t="shared" si="1"/>
        <v>1710</v>
      </c>
      <c r="K119">
        <f>_xlfn.RANK.EQ(Data!J119,Data!J119:J618,1)</f>
        <v>133</v>
      </c>
    </row>
    <row r="120" spans="1:11" x14ac:dyDescent="0.25">
      <c r="A120" s="2">
        <v>1120</v>
      </c>
      <c r="B120" s="3">
        <v>45776</v>
      </c>
      <c r="C120" s="2" t="s">
        <v>18</v>
      </c>
      <c r="D120" s="2" t="s">
        <v>29</v>
      </c>
      <c r="E120" s="2" t="s">
        <v>16</v>
      </c>
      <c r="F120" s="2" t="s">
        <v>35</v>
      </c>
      <c r="G120" s="2">
        <v>1</v>
      </c>
      <c r="H120" s="2">
        <v>50</v>
      </c>
      <c r="I120" s="2">
        <v>0.1</v>
      </c>
      <c r="J120" s="2">
        <f t="shared" si="1"/>
        <v>45</v>
      </c>
      <c r="K120">
        <f>_xlfn.RANK.EQ(Data!J120,Data!J120:J619,1)</f>
        <v>1</v>
      </c>
    </row>
    <row r="121" spans="1:11" x14ac:dyDescent="0.25">
      <c r="A121" s="2">
        <v>1121</v>
      </c>
      <c r="B121" s="3">
        <v>45777</v>
      </c>
      <c r="C121" s="2" t="s">
        <v>22</v>
      </c>
      <c r="D121" s="2" t="s">
        <v>31</v>
      </c>
      <c r="E121" s="2" t="s">
        <v>20</v>
      </c>
      <c r="F121" s="2" t="s">
        <v>36</v>
      </c>
      <c r="G121" s="2">
        <v>4</v>
      </c>
      <c r="H121" s="2">
        <v>30</v>
      </c>
      <c r="I121" s="2">
        <v>0.15</v>
      </c>
      <c r="J121" s="2">
        <f t="shared" si="1"/>
        <v>102</v>
      </c>
      <c r="K121">
        <f>_xlfn.RANK.EQ(Data!J121,Data!J121:J620,1)</f>
        <v>13</v>
      </c>
    </row>
    <row r="122" spans="1:11" x14ac:dyDescent="0.25">
      <c r="A122" s="2">
        <v>1122</v>
      </c>
      <c r="B122" s="3">
        <v>45778</v>
      </c>
      <c r="C122" s="2" t="s">
        <v>10</v>
      </c>
      <c r="D122" s="2" t="s">
        <v>11</v>
      </c>
      <c r="E122" s="2" t="s">
        <v>12</v>
      </c>
      <c r="F122" s="2" t="s">
        <v>13</v>
      </c>
      <c r="G122" s="2">
        <v>7</v>
      </c>
      <c r="H122" s="2">
        <v>50000</v>
      </c>
      <c r="I122" s="2">
        <v>0</v>
      </c>
      <c r="J122" s="2">
        <f t="shared" si="1"/>
        <v>350000</v>
      </c>
      <c r="K122">
        <f>_xlfn.RANK.EQ(Data!J122,Data!J122:J621,1)</f>
        <v>356</v>
      </c>
    </row>
    <row r="123" spans="1:11" x14ac:dyDescent="0.25">
      <c r="A123" s="2">
        <v>1123</v>
      </c>
      <c r="B123" s="3">
        <v>45779</v>
      </c>
      <c r="C123" s="2" t="s">
        <v>14</v>
      </c>
      <c r="D123" s="2" t="s">
        <v>15</v>
      </c>
      <c r="E123" s="2" t="s">
        <v>16</v>
      </c>
      <c r="F123" s="2" t="s">
        <v>17</v>
      </c>
      <c r="G123" s="2">
        <v>10</v>
      </c>
      <c r="H123" s="2">
        <v>500</v>
      </c>
      <c r="I123" s="2">
        <v>0.05</v>
      </c>
      <c r="J123" s="2">
        <f t="shared" si="1"/>
        <v>4750</v>
      </c>
      <c r="K123">
        <f>_xlfn.RANK.EQ(Data!J123,Data!J123:J622,1)</f>
        <v>144</v>
      </c>
    </row>
    <row r="124" spans="1:11" x14ac:dyDescent="0.25">
      <c r="A124" s="2">
        <v>1124</v>
      </c>
      <c r="B124" s="3">
        <v>45780</v>
      </c>
      <c r="C124" s="2" t="s">
        <v>18</v>
      </c>
      <c r="D124" s="2" t="s">
        <v>19</v>
      </c>
      <c r="E124" s="2" t="s">
        <v>20</v>
      </c>
      <c r="F124" s="2" t="s">
        <v>21</v>
      </c>
      <c r="G124" s="2">
        <v>13</v>
      </c>
      <c r="H124" s="2">
        <v>1500</v>
      </c>
      <c r="I124" s="2">
        <v>0.1</v>
      </c>
      <c r="J124" s="2">
        <f t="shared" si="1"/>
        <v>17550</v>
      </c>
      <c r="K124">
        <f>_xlfn.RANK.EQ(Data!J124,Data!J124:J623,1)</f>
        <v>195</v>
      </c>
    </row>
    <row r="125" spans="1:11" x14ac:dyDescent="0.25">
      <c r="A125" s="2">
        <v>1125</v>
      </c>
      <c r="B125" s="3">
        <v>45781</v>
      </c>
      <c r="C125" s="2" t="s">
        <v>22</v>
      </c>
      <c r="D125" s="2" t="s">
        <v>23</v>
      </c>
      <c r="E125" s="2" t="s">
        <v>12</v>
      </c>
      <c r="F125" s="2" t="s">
        <v>24</v>
      </c>
      <c r="G125" s="2">
        <v>16</v>
      </c>
      <c r="H125" s="2">
        <v>12000</v>
      </c>
      <c r="I125" s="2">
        <v>0.15</v>
      </c>
      <c r="J125" s="2">
        <f t="shared" si="1"/>
        <v>163200</v>
      </c>
      <c r="K125">
        <f>_xlfn.RANK.EQ(Data!J125,Data!J125:J624,1)</f>
        <v>341</v>
      </c>
    </row>
    <row r="126" spans="1:11" x14ac:dyDescent="0.25">
      <c r="A126" s="2">
        <v>1126</v>
      </c>
      <c r="B126" s="3">
        <v>45782</v>
      </c>
      <c r="C126" s="2" t="s">
        <v>10</v>
      </c>
      <c r="D126" s="2" t="s">
        <v>25</v>
      </c>
      <c r="E126" s="2" t="s">
        <v>16</v>
      </c>
      <c r="F126" s="2" t="s">
        <v>26</v>
      </c>
      <c r="G126" s="2">
        <v>19</v>
      </c>
      <c r="H126" s="2">
        <v>4000</v>
      </c>
      <c r="I126" s="2">
        <v>0</v>
      </c>
      <c r="J126" s="2">
        <f t="shared" si="1"/>
        <v>76000</v>
      </c>
      <c r="K126">
        <f>_xlfn.RANK.EQ(Data!J126,Data!J126:J625,1)</f>
        <v>265</v>
      </c>
    </row>
    <row r="127" spans="1:11" x14ac:dyDescent="0.25">
      <c r="A127" s="2">
        <v>1127</v>
      </c>
      <c r="B127" s="3">
        <v>45783</v>
      </c>
      <c r="C127" s="2" t="s">
        <v>14</v>
      </c>
      <c r="D127" s="2" t="s">
        <v>27</v>
      </c>
      <c r="E127" s="2" t="s">
        <v>20</v>
      </c>
      <c r="F127" s="2" t="s">
        <v>28</v>
      </c>
      <c r="G127" s="2">
        <v>2</v>
      </c>
      <c r="H127" s="2">
        <v>8000</v>
      </c>
      <c r="I127" s="2">
        <v>0.05</v>
      </c>
      <c r="J127" s="2">
        <f t="shared" si="1"/>
        <v>15200</v>
      </c>
      <c r="K127">
        <f>_xlfn.RANK.EQ(Data!J127,Data!J127:J626,1)</f>
        <v>188</v>
      </c>
    </row>
    <row r="128" spans="1:11" x14ac:dyDescent="0.25">
      <c r="A128" s="2">
        <v>1128</v>
      </c>
      <c r="B128" s="3">
        <v>45784</v>
      </c>
      <c r="C128" s="2" t="s">
        <v>18</v>
      </c>
      <c r="D128" s="2" t="s">
        <v>29</v>
      </c>
      <c r="E128" s="2" t="s">
        <v>12</v>
      </c>
      <c r="F128" s="2" t="s">
        <v>30</v>
      </c>
      <c r="G128" s="2">
        <v>5</v>
      </c>
      <c r="H128" s="2">
        <v>10000</v>
      </c>
      <c r="I128" s="2">
        <v>0.1</v>
      </c>
      <c r="J128" s="2">
        <f t="shared" si="1"/>
        <v>45000</v>
      </c>
      <c r="K128">
        <f>_xlfn.RANK.EQ(Data!J128,Data!J128:J627,1)</f>
        <v>238</v>
      </c>
    </row>
    <row r="129" spans="1:11" x14ac:dyDescent="0.25">
      <c r="A129" s="2">
        <v>1129</v>
      </c>
      <c r="B129" s="3">
        <v>45785</v>
      </c>
      <c r="C129" s="2" t="s">
        <v>22</v>
      </c>
      <c r="D129" s="2" t="s">
        <v>31</v>
      </c>
      <c r="E129" s="2" t="s">
        <v>16</v>
      </c>
      <c r="F129" s="2" t="s">
        <v>32</v>
      </c>
      <c r="G129" s="2">
        <v>8</v>
      </c>
      <c r="H129" s="2">
        <v>6000</v>
      </c>
      <c r="I129" s="2">
        <v>0.15</v>
      </c>
      <c r="J129" s="2">
        <f t="shared" si="1"/>
        <v>40800</v>
      </c>
      <c r="K129">
        <f>_xlfn.RANK.EQ(Data!J129,Data!J129:J628,1)</f>
        <v>219</v>
      </c>
    </row>
    <row r="130" spans="1:11" x14ac:dyDescent="0.25">
      <c r="A130" s="2">
        <v>1130</v>
      </c>
      <c r="B130" s="3">
        <v>45786</v>
      </c>
      <c r="C130" s="2" t="s">
        <v>10</v>
      </c>
      <c r="D130" s="2" t="s">
        <v>11</v>
      </c>
      <c r="E130" s="2" t="s">
        <v>20</v>
      </c>
      <c r="F130" s="2" t="s">
        <v>33</v>
      </c>
      <c r="G130" s="2">
        <v>11</v>
      </c>
      <c r="H130" s="2">
        <v>20</v>
      </c>
      <c r="I130" s="2">
        <v>0</v>
      </c>
      <c r="J130" s="2">
        <f t="shared" ref="J130:J193" si="2">G130*H130*(1-I130)</f>
        <v>220</v>
      </c>
      <c r="K130">
        <f>_xlfn.RANK.EQ(Data!J130,Data!J130:J629,1)</f>
        <v>37</v>
      </c>
    </row>
    <row r="131" spans="1:11" x14ac:dyDescent="0.25">
      <c r="A131" s="2">
        <v>1131</v>
      </c>
      <c r="B131" s="3">
        <v>45787</v>
      </c>
      <c r="C131" s="2" t="s">
        <v>14</v>
      </c>
      <c r="D131" s="2" t="s">
        <v>15</v>
      </c>
      <c r="E131" s="2" t="s">
        <v>12</v>
      </c>
      <c r="F131" s="2" t="s">
        <v>34</v>
      </c>
      <c r="G131" s="2">
        <v>14</v>
      </c>
      <c r="H131" s="2">
        <v>100</v>
      </c>
      <c r="I131" s="2">
        <v>0.05</v>
      </c>
      <c r="J131" s="2">
        <f t="shared" si="2"/>
        <v>1330</v>
      </c>
      <c r="K131">
        <f>_xlfn.RANK.EQ(Data!J131,Data!J131:J630,1)</f>
        <v>117</v>
      </c>
    </row>
    <row r="132" spans="1:11" x14ac:dyDescent="0.25">
      <c r="A132" s="2">
        <v>1132</v>
      </c>
      <c r="B132" s="3">
        <v>45788</v>
      </c>
      <c r="C132" s="2" t="s">
        <v>18</v>
      </c>
      <c r="D132" s="2" t="s">
        <v>19</v>
      </c>
      <c r="E132" s="2" t="s">
        <v>16</v>
      </c>
      <c r="F132" s="2" t="s">
        <v>35</v>
      </c>
      <c r="G132" s="2">
        <v>17</v>
      </c>
      <c r="H132" s="2">
        <v>50</v>
      </c>
      <c r="I132" s="2">
        <v>0.1</v>
      </c>
      <c r="J132" s="2">
        <f t="shared" si="2"/>
        <v>765</v>
      </c>
      <c r="K132">
        <f>_xlfn.RANK.EQ(Data!J132,Data!J132:J631,1)</f>
        <v>98</v>
      </c>
    </row>
    <row r="133" spans="1:11" x14ac:dyDescent="0.25">
      <c r="A133" s="2">
        <v>1133</v>
      </c>
      <c r="B133" s="3">
        <v>45789</v>
      </c>
      <c r="C133" s="2" t="s">
        <v>22</v>
      </c>
      <c r="D133" s="2" t="s">
        <v>23</v>
      </c>
      <c r="E133" s="2" t="s">
        <v>20</v>
      </c>
      <c r="F133" s="2" t="s">
        <v>36</v>
      </c>
      <c r="G133" s="2">
        <v>20</v>
      </c>
      <c r="H133" s="2">
        <v>30</v>
      </c>
      <c r="I133" s="2">
        <v>0.15</v>
      </c>
      <c r="J133" s="2">
        <f t="shared" si="2"/>
        <v>510</v>
      </c>
      <c r="K133">
        <f>_xlfn.RANK.EQ(Data!J133,Data!J133:J632,1)</f>
        <v>79</v>
      </c>
    </row>
    <row r="134" spans="1:11" x14ac:dyDescent="0.25">
      <c r="A134" s="2">
        <v>1134</v>
      </c>
      <c r="B134" s="3">
        <v>45790</v>
      </c>
      <c r="C134" s="2" t="s">
        <v>10</v>
      </c>
      <c r="D134" s="2" t="s">
        <v>25</v>
      </c>
      <c r="E134" s="2" t="s">
        <v>12</v>
      </c>
      <c r="F134" s="2" t="s">
        <v>13</v>
      </c>
      <c r="G134" s="2">
        <v>3</v>
      </c>
      <c r="H134" s="2">
        <v>50000</v>
      </c>
      <c r="I134" s="2">
        <v>0</v>
      </c>
      <c r="J134" s="2">
        <f t="shared" si="2"/>
        <v>150000</v>
      </c>
      <c r="K134">
        <f>_xlfn.RANK.EQ(Data!J134,Data!J134:J633,1)</f>
        <v>320</v>
      </c>
    </row>
    <row r="135" spans="1:11" x14ac:dyDescent="0.25">
      <c r="A135" s="2">
        <v>1135</v>
      </c>
      <c r="B135" s="3">
        <v>45791</v>
      </c>
      <c r="C135" s="2" t="s">
        <v>14</v>
      </c>
      <c r="D135" s="2" t="s">
        <v>27</v>
      </c>
      <c r="E135" s="2" t="s">
        <v>16</v>
      </c>
      <c r="F135" s="2" t="s">
        <v>17</v>
      </c>
      <c r="G135" s="2">
        <v>6</v>
      </c>
      <c r="H135" s="2">
        <v>500</v>
      </c>
      <c r="I135" s="2">
        <v>0.05</v>
      </c>
      <c r="J135" s="2">
        <f t="shared" si="2"/>
        <v>2850</v>
      </c>
      <c r="K135">
        <f>_xlfn.RANK.EQ(Data!J135,Data!J135:J634,1)</f>
        <v>133</v>
      </c>
    </row>
    <row r="136" spans="1:11" x14ac:dyDescent="0.25">
      <c r="A136" s="2">
        <v>1136</v>
      </c>
      <c r="B136" s="3">
        <v>45792</v>
      </c>
      <c r="C136" s="2" t="s">
        <v>18</v>
      </c>
      <c r="D136" s="2" t="s">
        <v>29</v>
      </c>
      <c r="E136" s="2" t="s">
        <v>20</v>
      </c>
      <c r="F136" s="2" t="s">
        <v>21</v>
      </c>
      <c r="G136" s="2">
        <v>9</v>
      </c>
      <c r="H136" s="2">
        <v>1500</v>
      </c>
      <c r="I136" s="2">
        <v>0.1</v>
      </c>
      <c r="J136" s="2">
        <f t="shared" si="2"/>
        <v>12150</v>
      </c>
      <c r="K136">
        <f>_xlfn.RANK.EQ(Data!J136,Data!J136:J635,1)</f>
        <v>176</v>
      </c>
    </row>
    <row r="137" spans="1:11" x14ac:dyDescent="0.25">
      <c r="A137" s="2">
        <v>1137</v>
      </c>
      <c r="B137" s="3">
        <v>45793</v>
      </c>
      <c r="C137" s="2" t="s">
        <v>22</v>
      </c>
      <c r="D137" s="2" t="s">
        <v>31</v>
      </c>
      <c r="E137" s="2" t="s">
        <v>12</v>
      </c>
      <c r="F137" s="2" t="s">
        <v>24</v>
      </c>
      <c r="G137" s="2">
        <v>12</v>
      </c>
      <c r="H137" s="2">
        <v>12000</v>
      </c>
      <c r="I137" s="2">
        <v>0.15</v>
      </c>
      <c r="J137" s="2">
        <f t="shared" si="2"/>
        <v>122400</v>
      </c>
      <c r="K137">
        <f>_xlfn.RANK.EQ(Data!J137,Data!J137:J636,1)</f>
        <v>304</v>
      </c>
    </row>
    <row r="138" spans="1:11" x14ac:dyDescent="0.25">
      <c r="A138" s="2">
        <v>1138</v>
      </c>
      <c r="B138" s="3">
        <v>45794</v>
      </c>
      <c r="C138" s="2" t="s">
        <v>10</v>
      </c>
      <c r="D138" s="2" t="s">
        <v>11</v>
      </c>
      <c r="E138" s="2" t="s">
        <v>16</v>
      </c>
      <c r="F138" s="2" t="s">
        <v>26</v>
      </c>
      <c r="G138" s="2">
        <v>15</v>
      </c>
      <c r="H138" s="2">
        <v>4000</v>
      </c>
      <c r="I138" s="2">
        <v>0</v>
      </c>
      <c r="J138" s="2">
        <f t="shared" si="2"/>
        <v>60000</v>
      </c>
      <c r="K138">
        <f>_xlfn.RANK.EQ(Data!J138,Data!J138:J637,1)</f>
        <v>243</v>
      </c>
    </row>
    <row r="139" spans="1:11" x14ac:dyDescent="0.25">
      <c r="A139" s="2">
        <v>1139</v>
      </c>
      <c r="B139" s="3">
        <v>45795</v>
      </c>
      <c r="C139" s="2" t="s">
        <v>14</v>
      </c>
      <c r="D139" s="2" t="s">
        <v>15</v>
      </c>
      <c r="E139" s="2" t="s">
        <v>20</v>
      </c>
      <c r="F139" s="2" t="s">
        <v>28</v>
      </c>
      <c r="G139" s="2">
        <v>18</v>
      </c>
      <c r="H139" s="2">
        <v>8000</v>
      </c>
      <c r="I139" s="2">
        <v>0.05</v>
      </c>
      <c r="J139" s="2">
        <f t="shared" si="2"/>
        <v>136800</v>
      </c>
      <c r="K139">
        <f>_xlfn.RANK.EQ(Data!J139,Data!J139:J638,1)</f>
        <v>309</v>
      </c>
    </row>
    <row r="140" spans="1:11" x14ac:dyDescent="0.25">
      <c r="A140" s="2">
        <v>1140</v>
      </c>
      <c r="B140" s="3">
        <v>45796</v>
      </c>
      <c r="C140" s="2" t="s">
        <v>18</v>
      </c>
      <c r="D140" s="2" t="s">
        <v>19</v>
      </c>
      <c r="E140" s="2" t="s">
        <v>12</v>
      </c>
      <c r="F140" s="2" t="s">
        <v>30</v>
      </c>
      <c r="G140" s="2">
        <v>1</v>
      </c>
      <c r="H140" s="2">
        <v>10000</v>
      </c>
      <c r="I140" s="2">
        <v>0.1</v>
      </c>
      <c r="J140" s="2">
        <f t="shared" si="2"/>
        <v>9000</v>
      </c>
      <c r="K140">
        <f>_xlfn.RANK.EQ(Data!J140,Data!J140:J639,1)</f>
        <v>163</v>
      </c>
    </row>
    <row r="141" spans="1:11" x14ac:dyDescent="0.25">
      <c r="A141" s="2">
        <v>1141</v>
      </c>
      <c r="B141" s="3">
        <v>45797</v>
      </c>
      <c r="C141" s="2" t="s">
        <v>22</v>
      </c>
      <c r="D141" s="2" t="s">
        <v>23</v>
      </c>
      <c r="E141" s="2" t="s">
        <v>16</v>
      </c>
      <c r="F141" s="2" t="s">
        <v>32</v>
      </c>
      <c r="G141" s="2">
        <v>4</v>
      </c>
      <c r="H141" s="2">
        <v>6000</v>
      </c>
      <c r="I141" s="2">
        <v>0.15</v>
      </c>
      <c r="J141" s="2">
        <f t="shared" si="2"/>
        <v>20400</v>
      </c>
      <c r="K141">
        <f>_xlfn.RANK.EQ(Data!J141,Data!J141:J640,1)</f>
        <v>193</v>
      </c>
    </row>
    <row r="142" spans="1:11" x14ac:dyDescent="0.25">
      <c r="A142" s="2">
        <v>1142</v>
      </c>
      <c r="B142" s="3">
        <v>45798</v>
      </c>
      <c r="C142" s="2" t="s">
        <v>10</v>
      </c>
      <c r="D142" s="2" t="s">
        <v>25</v>
      </c>
      <c r="E142" s="2" t="s">
        <v>20</v>
      </c>
      <c r="F142" s="2" t="s">
        <v>33</v>
      </c>
      <c r="G142" s="2">
        <v>7</v>
      </c>
      <c r="H142" s="2">
        <v>20</v>
      </c>
      <c r="I142" s="2">
        <v>0</v>
      </c>
      <c r="J142" s="2">
        <f t="shared" si="2"/>
        <v>140</v>
      </c>
      <c r="K142">
        <f>_xlfn.RANK.EQ(Data!J142,Data!J142:J641,1)</f>
        <v>19</v>
      </c>
    </row>
    <row r="143" spans="1:11" x14ac:dyDescent="0.25">
      <c r="A143" s="2">
        <v>1143</v>
      </c>
      <c r="B143" s="3">
        <v>45799</v>
      </c>
      <c r="C143" s="2" t="s">
        <v>14</v>
      </c>
      <c r="D143" s="2" t="s">
        <v>27</v>
      </c>
      <c r="E143" s="2" t="s">
        <v>12</v>
      </c>
      <c r="F143" s="2" t="s">
        <v>34</v>
      </c>
      <c r="G143" s="2">
        <v>10</v>
      </c>
      <c r="H143" s="2">
        <v>100</v>
      </c>
      <c r="I143" s="2">
        <v>0.05</v>
      </c>
      <c r="J143" s="2">
        <f t="shared" si="2"/>
        <v>950</v>
      </c>
      <c r="K143">
        <f>_xlfn.RANK.EQ(Data!J143,Data!J143:J642,1)</f>
        <v>102</v>
      </c>
    </row>
    <row r="144" spans="1:11" x14ac:dyDescent="0.25">
      <c r="A144" s="2">
        <v>1144</v>
      </c>
      <c r="B144" s="3">
        <v>45800</v>
      </c>
      <c r="C144" s="2" t="s">
        <v>18</v>
      </c>
      <c r="D144" s="2" t="s">
        <v>29</v>
      </c>
      <c r="E144" s="2" t="s">
        <v>16</v>
      </c>
      <c r="F144" s="2" t="s">
        <v>35</v>
      </c>
      <c r="G144" s="2">
        <v>13</v>
      </c>
      <c r="H144" s="2">
        <v>50</v>
      </c>
      <c r="I144" s="2">
        <v>0.1</v>
      </c>
      <c r="J144" s="2">
        <f t="shared" si="2"/>
        <v>585</v>
      </c>
      <c r="K144">
        <f>_xlfn.RANK.EQ(Data!J144,Data!J144:J643,1)</f>
        <v>90</v>
      </c>
    </row>
    <row r="145" spans="1:11" x14ac:dyDescent="0.25">
      <c r="A145" s="2">
        <v>1145</v>
      </c>
      <c r="B145" s="3">
        <v>45801</v>
      </c>
      <c r="C145" s="2" t="s">
        <v>22</v>
      </c>
      <c r="D145" s="2" t="s">
        <v>31</v>
      </c>
      <c r="E145" s="2" t="s">
        <v>20</v>
      </c>
      <c r="F145" s="2" t="s">
        <v>36</v>
      </c>
      <c r="G145" s="2">
        <v>16</v>
      </c>
      <c r="H145" s="2">
        <v>30</v>
      </c>
      <c r="I145" s="2">
        <v>0.15</v>
      </c>
      <c r="J145" s="2">
        <f t="shared" si="2"/>
        <v>408</v>
      </c>
      <c r="K145">
        <f>_xlfn.RANK.EQ(Data!J145,Data!J145:J644,1)</f>
        <v>72</v>
      </c>
    </row>
    <row r="146" spans="1:11" x14ac:dyDescent="0.25">
      <c r="A146" s="2">
        <v>1146</v>
      </c>
      <c r="B146" s="3">
        <v>45802</v>
      </c>
      <c r="C146" s="2" t="s">
        <v>10</v>
      </c>
      <c r="D146" s="2" t="s">
        <v>11</v>
      </c>
      <c r="E146" s="2" t="s">
        <v>12</v>
      </c>
      <c r="F146" s="2" t="s">
        <v>13</v>
      </c>
      <c r="G146" s="2">
        <v>19</v>
      </c>
      <c r="H146" s="2">
        <v>50000</v>
      </c>
      <c r="I146" s="2">
        <v>0</v>
      </c>
      <c r="J146" s="2">
        <f t="shared" si="2"/>
        <v>950000</v>
      </c>
      <c r="K146">
        <f>_xlfn.RANK.EQ(Data!J146,Data!J146:J645,1)</f>
        <v>351</v>
      </c>
    </row>
    <row r="147" spans="1:11" x14ac:dyDescent="0.25">
      <c r="A147" s="2">
        <v>1147</v>
      </c>
      <c r="B147" s="3">
        <v>45803</v>
      </c>
      <c r="C147" s="2" t="s">
        <v>14</v>
      </c>
      <c r="D147" s="2" t="s">
        <v>15</v>
      </c>
      <c r="E147" s="2" t="s">
        <v>16</v>
      </c>
      <c r="F147" s="2" t="s">
        <v>17</v>
      </c>
      <c r="G147" s="2">
        <v>2</v>
      </c>
      <c r="H147" s="2">
        <v>500</v>
      </c>
      <c r="I147" s="2">
        <v>0.05</v>
      </c>
      <c r="J147" s="2">
        <f t="shared" si="2"/>
        <v>950</v>
      </c>
      <c r="K147">
        <f>_xlfn.RANK.EQ(Data!J147,Data!J147:J646,1)</f>
        <v>100</v>
      </c>
    </row>
    <row r="148" spans="1:11" x14ac:dyDescent="0.25">
      <c r="A148" s="2">
        <v>1148</v>
      </c>
      <c r="B148" s="3">
        <v>45804</v>
      </c>
      <c r="C148" s="2" t="s">
        <v>18</v>
      </c>
      <c r="D148" s="2" t="s">
        <v>19</v>
      </c>
      <c r="E148" s="2" t="s">
        <v>20</v>
      </c>
      <c r="F148" s="2" t="s">
        <v>21</v>
      </c>
      <c r="G148" s="2">
        <v>5</v>
      </c>
      <c r="H148" s="2">
        <v>1500</v>
      </c>
      <c r="I148" s="2">
        <v>0.1</v>
      </c>
      <c r="J148" s="2">
        <f t="shared" si="2"/>
        <v>6750</v>
      </c>
      <c r="K148">
        <f>_xlfn.RANK.EQ(Data!J148,Data!J148:J647,1)</f>
        <v>146</v>
      </c>
    </row>
    <row r="149" spans="1:11" x14ac:dyDescent="0.25">
      <c r="A149" s="2">
        <v>1149</v>
      </c>
      <c r="B149" s="3">
        <v>45805</v>
      </c>
      <c r="C149" s="2" t="s">
        <v>22</v>
      </c>
      <c r="D149" s="2" t="s">
        <v>23</v>
      </c>
      <c r="E149" s="2" t="s">
        <v>12</v>
      </c>
      <c r="F149" s="2" t="s">
        <v>24</v>
      </c>
      <c r="G149" s="2">
        <v>8</v>
      </c>
      <c r="H149" s="2">
        <v>12000</v>
      </c>
      <c r="I149" s="2">
        <v>0.15</v>
      </c>
      <c r="J149" s="2">
        <f t="shared" si="2"/>
        <v>81600</v>
      </c>
      <c r="K149">
        <f>_xlfn.RANK.EQ(Data!J149,Data!J149:J648,1)</f>
        <v>265</v>
      </c>
    </row>
    <row r="150" spans="1:11" x14ac:dyDescent="0.25">
      <c r="A150" s="2">
        <v>1150</v>
      </c>
      <c r="B150" s="3">
        <v>45806</v>
      </c>
      <c r="C150" s="2" t="s">
        <v>10</v>
      </c>
      <c r="D150" s="2" t="s">
        <v>25</v>
      </c>
      <c r="E150" s="2" t="s">
        <v>16</v>
      </c>
      <c r="F150" s="2" t="s">
        <v>26</v>
      </c>
      <c r="G150" s="2">
        <v>11</v>
      </c>
      <c r="H150" s="2">
        <v>4000</v>
      </c>
      <c r="I150" s="2">
        <v>0</v>
      </c>
      <c r="J150" s="2">
        <f t="shared" si="2"/>
        <v>44000</v>
      </c>
      <c r="K150">
        <f>_xlfn.RANK.EQ(Data!J150,Data!J150:J649,1)</f>
        <v>217</v>
      </c>
    </row>
    <row r="151" spans="1:11" x14ac:dyDescent="0.25">
      <c r="A151" s="2">
        <v>1151</v>
      </c>
      <c r="B151" s="3">
        <v>45807</v>
      </c>
      <c r="C151" s="2" t="s">
        <v>14</v>
      </c>
      <c r="D151" s="2" t="s">
        <v>27</v>
      </c>
      <c r="E151" s="2" t="s">
        <v>20</v>
      </c>
      <c r="F151" s="2" t="s">
        <v>28</v>
      </c>
      <c r="G151" s="2">
        <v>14</v>
      </c>
      <c r="H151" s="2">
        <v>8000</v>
      </c>
      <c r="I151" s="2">
        <v>0.05</v>
      </c>
      <c r="J151" s="2">
        <f t="shared" si="2"/>
        <v>106400</v>
      </c>
      <c r="K151">
        <f>_xlfn.RANK.EQ(Data!J151,Data!J151:J650,1)</f>
        <v>281</v>
      </c>
    </row>
    <row r="152" spans="1:11" x14ac:dyDescent="0.25">
      <c r="A152" s="2">
        <v>1152</v>
      </c>
      <c r="B152" s="3">
        <v>45808</v>
      </c>
      <c r="C152" s="2" t="s">
        <v>18</v>
      </c>
      <c r="D152" s="2" t="s">
        <v>29</v>
      </c>
      <c r="E152" s="2" t="s">
        <v>12</v>
      </c>
      <c r="F152" s="2" t="s">
        <v>30</v>
      </c>
      <c r="G152" s="2">
        <v>17</v>
      </c>
      <c r="H152" s="2">
        <v>10000</v>
      </c>
      <c r="I152" s="2">
        <v>0.1</v>
      </c>
      <c r="J152" s="2">
        <f t="shared" si="2"/>
        <v>153000</v>
      </c>
      <c r="K152">
        <f>_xlfn.RANK.EQ(Data!J152,Data!J152:J651,1)</f>
        <v>310</v>
      </c>
    </row>
    <row r="153" spans="1:11" x14ac:dyDescent="0.25">
      <c r="A153" s="2">
        <v>1153</v>
      </c>
      <c r="B153" s="3">
        <v>45809</v>
      </c>
      <c r="C153" s="2" t="s">
        <v>22</v>
      </c>
      <c r="D153" s="2" t="s">
        <v>31</v>
      </c>
      <c r="E153" s="2" t="s">
        <v>16</v>
      </c>
      <c r="F153" s="2" t="s">
        <v>32</v>
      </c>
      <c r="G153" s="2">
        <v>20</v>
      </c>
      <c r="H153" s="2">
        <v>6000</v>
      </c>
      <c r="I153" s="2">
        <v>0.15</v>
      </c>
      <c r="J153" s="2">
        <f t="shared" si="2"/>
        <v>102000</v>
      </c>
      <c r="K153">
        <f>_xlfn.RANK.EQ(Data!J153,Data!J153:J652,1)</f>
        <v>275</v>
      </c>
    </row>
    <row r="154" spans="1:11" x14ac:dyDescent="0.25">
      <c r="A154" s="2">
        <v>1154</v>
      </c>
      <c r="B154" s="3">
        <v>45810</v>
      </c>
      <c r="C154" s="2" t="s">
        <v>10</v>
      </c>
      <c r="D154" s="2" t="s">
        <v>11</v>
      </c>
      <c r="E154" s="2" t="s">
        <v>20</v>
      </c>
      <c r="F154" s="2" t="s">
        <v>33</v>
      </c>
      <c r="G154" s="2">
        <v>3</v>
      </c>
      <c r="H154" s="2">
        <v>20</v>
      </c>
      <c r="I154" s="2">
        <v>0</v>
      </c>
      <c r="J154" s="2">
        <f t="shared" si="2"/>
        <v>60</v>
      </c>
      <c r="K154">
        <f>_xlfn.RANK.EQ(Data!J154,Data!J154:J653,1)</f>
        <v>7</v>
      </c>
    </row>
    <row r="155" spans="1:11" x14ac:dyDescent="0.25">
      <c r="A155" s="2">
        <v>1155</v>
      </c>
      <c r="B155" s="3">
        <v>45811</v>
      </c>
      <c r="C155" s="2" t="s">
        <v>14</v>
      </c>
      <c r="D155" s="2" t="s">
        <v>15</v>
      </c>
      <c r="E155" s="2" t="s">
        <v>12</v>
      </c>
      <c r="F155" s="2" t="s">
        <v>34</v>
      </c>
      <c r="G155" s="2">
        <v>6</v>
      </c>
      <c r="H155" s="2">
        <v>100</v>
      </c>
      <c r="I155" s="2">
        <v>0.05</v>
      </c>
      <c r="J155" s="2">
        <f t="shared" si="2"/>
        <v>570</v>
      </c>
      <c r="K155">
        <f>_xlfn.RANK.EQ(Data!J155,Data!J155:J654,1)</f>
        <v>82</v>
      </c>
    </row>
    <row r="156" spans="1:11" x14ac:dyDescent="0.25">
      <c r="A156" s="2">
        <v>1156</v>
      </c>
      <c r="B156" s="3">
        <v>45812</v>
      </c>
      <c r="C156" s="2" t="s">
        <v>18</v>
      </c>
      <c r="D156" s="2" t="s">
        <v>19</v>
      </c>
      <c r="E156" s="2" t="s">
        <v>16</v>
      </c>
      <c r="F156" s="2" t="s">
        <v>35</v>
      </c>
      <c r="G156" s="2">
        <v>9</v>
      </c>
      <c r="H156" s="2">
        <v>50</v>
      </c>
      <c r="I156" s="2">
        <v>0.1</v>
      </c>
      <c r="J156" s="2">
        <f t="shared" si="2"/>
        <v>405</v>
      </c>
      <c r="K156">
        <f>_xlfn.RANK.EQ(Data!J156,Data!J156:J655,1)</f>
        <v>65</v>
      </c>
    </row>
    <row r="157" spans="1:11" x14ac:dyDescent="0.25">
      <c r="A157" s="2">
        <v>1157</v>
      </c>
      <c r="B157" s="3">
        <v>45813</v>
      </c>
      <c r="C157" s="2" t="s">
        <v>22</v>
      </c>
      <c r="D157" s="2" t="s">
        <v>23</v>
      </c>
      <c r="E157" s="2" t="s">
        <v>20</v>
      </c>
      <c r="F157" s="2" t="s">
        <v>36</v>
      </c>
      <c r="G157" s="2">
        <v>12</v>
      </c>
      <c r="H157" s="2">
        <v>30</v>
      </c>
      <c r="I157" s="2">
        <v>0.15</v>
      </c>
      <c r="J157" s="2">
        <f t="shared" si="2"/>
        <v>306</v>
      </c>
      <c r="K157">
        <f>_xlfn.RANK.EQ(Data!J157,Data!J157:J656,1)</f>
        <v>53</v>
      </c>
    </row>
    <row r="158" spans="1:11" x14ac:dyDescent="0.25">
      <c r="A158" s="2">
        <v>1158</v>
      </c>
      <c r="B158" s="3">
        <v>45814</v>
      </c>
      <c r="C158" s="2" t="s">
        <v>10</v>
      </c>
      <c r="D158" s="2" t="s">
        <v>25</v>
      </c>
      <c r="E158" s="2" t="s">
        <v>12</v>
      </c>
      <c r="F158" s="2" t="s">
        <v>13</v>
      </c>
      <c r="G158" s="2">
        <v>15</v>
      </c>
      <c r="H158" s="2">
        <v>50000</v>
      </c>
      <c r="I158" s="2">
        <v>0</v>
      </c>
      <c r="J158" s="2">
        <f t="shared" si="2"/>
        <v>750000</v>
      </c>
      <c r="K158">
        <f>_xlfn.RANK.EQ(Data!J158,Data!J158:J657,1)</f>
        <v>334</v>
      </c>
    </row>
    <row r="159" spans="1:11" x14ac:dyDescent="0.25">
      <c r="A159" s="2">
        <v>1159</v>
      </c>
      <c r="B159" s="3">
        <v>45815</v>
      </c>
      <c r="C159" s="2" t="s">
        <v>14</v>
      </c>
      <c r="D159" s="2" t="s">
        <v>27</v>
      </c>
      <c r="E159" s="2" t="s">
        <v>16</v>
      </c>
      <c r="F159" s="2" t="s">
        <v>17</v>
      </c>
      <c r="G159" s="2">
        <v>18</v>
      </c>
      <c r="H159" s="2">
        <v>500</v>
      </c>
      <c r="I159" s="2">
        <v>0.05</v>
      </c>
      <c r="J159" s="2">
        <f t="shared" si="2"/>
        <v>8550</v>
      </c>
      <c r="K159">
        <f>_xlfn.RANK.EQ(Data!J159,Data!J159:J658,1)</f>
        <v>147</v>
      </c>
    </row>
    <row r="160" spans="1:11" x14ac:dyDescent="0.25">
      <c r="A160" s="2">
        <v>1160</v>
      </c>
      <c r="B160" s="3">
        <v>45816</v>
      </c>
      <c r="C160" s="2" t="s">
        <v>18</v>
      </c>
      <c r="D160" s="2" t="s">
        <v>29</v>
      </c>
      <c r="E160" s="2" t="s">
        <v>20</v>
      </c>
      <c r="F160" s="2" t="s">
        <v>21</v>
      </c>
      <c r="G160" s="2">
        <v>1</v>
      </c>
      <c r="H160" s="2">
        <v>1500</v>
      </c>
      <c r="I160" s="2">
        <v>0.1</v>
      </c>
      <c r="J160" s="2">
        <f t="shared" si="2"/>
        <v>1350</v>
      </c>
      <c r="K160">
        <f>_xlfn.RANK.EQ(Data!J160,Data!J160:J659,1)</f>
        <v>112</v>
      </c>
    </row>
    <row r="161" spans="1:11" x14ac:dyDescent="0.25">
      <c r="A161" s="2">
        <v>1161</v>
      </c>
      <c r="B161" s="3">
        <v>45817</v>
      </c>
      <c r="C161" s="2" t="s">
        <v>22</v>
      </c>
      <c r="D161" s="2" t="s">
        <v>31</v>
      </c>
      <c r="E161" s="2" t="s">
        <v>12</v>
      </c>
      <c r="F161" s="2" t="s">
        <v>24</v>
      </c>
      <c r="G161" s="2">
        <v>4</v>
      </c>
      <c r="H161" s="2">
        <v>12000</v>
      </c>
      <c r="I161" s="2">
        <v>0.15</v>
      </c>
      <c r="J161" s="2">
        <f t="shared" si="2"/>
        <v>40800</v>
      </c>
      <c r="K161">
        <f>_xlfn.RANK.EQ(Data!J161,Data!J161:J660,1)</f>
        <v>199</v>
      </c>
    </row>
    <row r="162" spans="1:11" x14ac:dyDescent="0.25">
      <c r="A162" s="2">
        <v>1162</v>
      </c>
      <c r="B162" s="3">
        <v>45818</v>
      </c>
      <c r="C162" s="2" t="s">
        <v>10</v>
      </c>
      <c r="D162" s="2" t="s">
        <v>11</v>
      </c>
      <c r="E162" s="2" t="s">
        <v>16</v>
      </c>
      <c r="F162" s="2" t="s">
        <v>26</v>
      </c>
      <c r="G162" s="2">
        <v>7</v>
      </c>
      <c r="H162" s="2">
        <v>4000</v>
      </c>
      <c r="I162" s="2">
        <v>0</v>
      </c>
      <c r="J162" s="2">
        <f t="shared" si="2"/>
        <v>28000</v>
      </c>
      <c r="K162">
        <f>_xlfn.RANK.EQ(Data!J162,Data!J162:J661,1)</f>
        <v>193</v>
      </c>
    </row>
    <row r="163" spans="1:11" x14ac:dyDescent="0.25">
      <c r="A163" s="2">
        <v>1163</v>
      </c>
      <c r="B163" s="3">
        <v>45819</v>
      </c>
      <c r="C163" s="2" t="s">
        <v>14</v>
      </c>
      <c r="D163" s="2" t="s">
        <v>15</v>
      </c>
      <c r="E163" s="2" t="s">
        <v>20</v>
      </c>
      <c r="F163" s="2" t="s">
        <v>28</v>
      </c>
      <c r="G163" s="2">
        <v>10</v>
      </c>
      <c r="H163" s="2">
        <v>8000</v>
      </c>
      <c r="I163" s="2">
        <v>0.05</v>
      </c>
      <c r="J163" s="2">
        <f t="shared" si="2"/>
        <v>76000</v>
      </c>
      <c r="K163">
        <f>_xlfn.RANK.EQ(Data!J163,Data!J163:J662,1)</f>
        <v>238</v>
      </c>
    </row>
    <row r="164" spans="1:11" x14ac:dyDescent="0.25">
      <c r="A164" s="2">
        <v>1164</v>
      </c>
      <c r="B164" s="3">
        <v>45820</v>
      </c>
      <c r="C164" s="2" t="s">
        <v>18</v>
      </c>
      <c r="D164" s="2" t="s">
        <v>19</v>
      </c>
      <c r="E164" s="2" t="s">
        <v>12</v>
      </c>
      <c r="F164" s="2" t="s">
        <v>30</v>
      </c>
      <c r="G164" s="2">
        <v>13</v>
      </c>
      <c r="H164" s="2">
        <v>10000</v>
      </c>
      <c r="I164" s="2">
        <v>0.1</v>
      </c>
      <c r="J164" s="2">
        <f t="shared" si="2"/>
        <v>117000</v>
      </c>
      <c r="K164">
        <f>_xlfn.RANK.EQ(Data!J164,Data!J164:J663,1)</f>
        <v>276</v>
      </c>
    </row>
    <row r="165" spans="1:11" x14ac:dyDescent="0.25">
      <c r="A165" s="2">
        <v>1165</v>
      </c>
      <c r="B165" s="3">
        <v>45821</v>
      </c>
      <c r="C165" s="2" t="s">
        <v>22</v>
      </c>
      <c r="D165" s="2" t="s">
        <v>23</v>
      </c>
      <c r="E165" s="2" t="s">
        <v>16</v>
      </c>
      <c r="F165" s="2" t="s">
        <v>32</v>
      </c>
      <c r="G165" s="2">
        <v>16</v>
      </c>
      <c r="H165" s="2">
        <v>6000</v>
      </c>
      <c r="I165" s="2">
        <v>0.15</v>
      </c>
      <c r="J165" s="2">
        <f t="shared" si="2"/>
        <v>81600</v>
      </c>
      <c r="K165">
        <f>_xlfn.RANK.EQ(Data!J165,Data!J165:J664,1)</f>
        <v>255</v>
      </c>
    </row>
    <row r="166" spans="1:11" x14ac:dyDescent="0.25">
      <c r="A166" s="2">
        <v>1166</v>
      </c>
      <c r="B166" s="3">
        <v>45822</v>
      </c>
      <c r="C166" s="2" t="s">
        <v>10</v>
      </c>
      <c r="D166" s="2" t="s">
        <v>25</v>
      </c>
      <c r="E166" s="2" t="s">
        <v>20</v>
      </c>
      <c r="F166" s="2" t="s">
        <v>33</v>
      </c>
      <c r="G166" s="2">
        <v>19</v>
      </c>
      <c r="H166" s="2">
        <v>20</v>
      </c>
      <c r="I166" s="2">
        <v>0</v>
      </c>
      <c r="J166" s="2">
        <f t="shared" si="2"/>
        <v>380</v>
      </c>
      <c r="K166">
        <f>_xlfn.RANK.EQ(Data!J166,Data!J166:J665,1)</f>
        <v>58</v>
      </c>
    </row>
    <row r="167" spans="1:11" x14ac:dyDescent="0.25">
      <c r="A167" s="2">
        <v>1167</v>
      </c>
      <c r="B167" s="3">
        <v>45823</v>
      </c>
      <c r="C167" s="2" t="s">
        <v>14</v>
      </c>
      <c r="D167" s="2" t="s">
        <v>27</v>
      </c>
      <c r="E167" s="2" t="s">
        <v>12</v>
      </c>
      <c r="F167" s="2" t="s">
        <v>34</v>
      </c>
      <c r="G167" s="2">
        <v>2</v>
      </c>
      <c r="H167" s="2">
        <v>100</v>
      </c>
      <c r="I167" s="2">
        <v>0.05</v>
      </c>
      <c r="J167" s="2">
        <f t="shared" si="2"/>
        <v>190</v>
      </c>
      <c r="K167">
        <f>_xlfn.RANK.EQ(Data!J167,Data!J167:J666,1)</f>
        <v>23</v>
      </c>
    </row>
    <row r="168" spans="1:11" x14ac:dyDescent="0.25">
      <c r="A168" s="2">
        <v>1168</v>
      </c>
      <c r="B168" s="3">
        <v>45824</v>
      </c>
      <c r="C168" s="2" t="s">
        <v>18</v>
      </c>
      <c r="D168" s="2" t="s">
        <v>29</v>
      </c>
      <c r="E168" s="2" t="s">
        <v>16</v>
      </c>
      <c r="F168" s="2" t="s">
        <v>35</v>
      </c>
      <c r="G168" s="2">
        <v>5</v>
      </c>
      <c r="H168" s="2">
        <v>50</v>
      </c>
      <c r="I168" s="2">
        <v>0.1</v>
      </c>
      <c r="J168" s="2">
        <f t="shared" si="2"/>
        <v>225</v>
      </c>
      <c r="K168">
        <f>_xlfn.RANK.EQ(Data!J168,Data!J168:J667,1)</f>
        <v>40</v>
      </c>
    </row>
    <row r="169" spans="1:11" x14ac:dyDescent="0.25">
      <c r="A169" s="2">
        <v>1169</v>
      </c>
      <c r="B169" s="3">
        <v>45825</v>
      </c>
      <c r="C169" s="2" t="s">
        <v>22</v>
      </c>
      <c r="D169" s="2" t="s">
        <v>31</v>
      </c>
      <c r="E169" s="2" t="s">
        <v>20</v>
      </c>
      <c r="F169" s="2" t="s">
        <v>36</v>
      </c>
      <c r="G169" s="2">
        <v>8</v>
      </c>
      <c r="H169" s="2">
        <v>30</v>
      </c>
      <c r="I169" s="2">
        <v>0.15</v>
      </c>
      <c r="J169" s="2">
        <f t="shared" si="2"/>
        <v>204</v>
      </c>
      <c r="K169">
        <f>_xlfn.RANK.EQ(Data!J169,Data!J169:J668,1)</f>
        <v>28</v>
      </c>
    </row>
    <row r="170" spans="1:11" x14ac:dyDescent="0.25">
      <c r="A170" s="2">
        <v>1170</v>
      </c>
      <c r="B170" s="3">
        <v>45826</v>
      </c>
      <c r="C170" s="2" t="s">
        <v>10</v>
      </c>
      <c r="D170" s="2" t="s">
        <v>11</v>
      </c>
      <c r="E170" s="2" t="s">
        <v>12</v>
      </c>
      <c r="F170" s="2" t="s">
        <v>13</v>
      </c>
      <c r="G170" s="2">
        <v>11</v>
      </c>
      <c r="H170" s="2">
        <v>50000</v>
      </c>
      <c r="I170" s="2">
        <v>0</v>
      </c>
      <c r="J170" s="2">
        <f t="shared" si="2"/>
        <v>550000</v>
      </c>
      <c r="K170">
        <f>_xlfn.RANK.EQ(Data!J170,Data!J170:J669,1)</f>
        <v>317</v>
      </c>
    </row>
    <row r="171" spans="1:11" x14ac:dyDescent="0.25">
      <c r="A171" s="2">
        <v>1171</v>
      </c>
      <c r="B171" s="3">
        <v>45827</v>
      </c>
      <c r="C171" s="2" t="s">
        <v>14</v>
      </c>
      <c r="D171" s="2" t="s">
        <v>15</v>
      </c>
      <c r="E171" s="2" t="s">
        <v>16</v>
      </c>
      <c r="F171" s="2" t="s">
        <v>17</v>
      </c>
      <c r="G171" s="2">
        <v>14</v>
      </c>
      <c r="H171" s="2">
        <v>500</v>
      </c>
      <c r="I171" s="2">
        <v>0.05</v>
      </c>
      <c r="J171" s="2">
        <f t="shared" si="2"/>
        <v>6650</v>
      </c>
      <c r="K171">
        <f>_xlfn.RANK.EQ(Data!J171,Data!J171:J670,1)</f>
        <v>131</v>
      </c>
    </row>
    <row r="172" spans="1:11" x14ac:dyDescent="0.25">
      <c r="A172" s="2">
        <v>1172</v>
      </c>
      <c r="B172" s="3">
        <v>45828</v>
      </c>
      <c r="C172" s="2" t="s">
        <v>18</v>
      </c>
      <c r="D172" s="2" t="s">
        <v>19</v>
      </c>
      <c r="E172" s="2" t="s">
        <v>20</v>
      </c>
      <c r="F172" s="2" t="s">
        <v>21</v>
      </c>
      <c r="G172" s="2">
        <v>17</v>
      </c>
      <c r="H172" s="2">
        <v>1500</v>
      </c>
      <c r="I172" s="2">
        <v>0.1</v>
      </c>
      <c r="J172" s="2">
        <f t="shared" si="2"/>
        <v>22950</v>
      </c>
      <c r="K172">
        <f>_xlfn.RANK.EQ(Data!J172,Data!J172:J671,1)</f>
        <v>182</v>
      </c>
    </row>
    <row r="173" spans="1:11" x14ac:dyDescent="0.25">
      <c r="A173" s="2">
        <v>1173</v>
      </c>
      <c r="B173" s="3">
        <v>45829</v>
      </c>
      <c r="C173" s="2" t="s">
        <v>22</v>
      </c>
      <c r="D173" s="2" t="s">
        <v>23</v>
      </c>
      <c r="E173" s="2" t="s">
        <v>12</v>
      </c>
      <c r="F173" s="2" t="s">
        <v>24</v>
      </c>
      <c r="G173" s="2">
        <v>20</v>
      </c>
      <c r="H173" s="2">
        <v>12000</v>
      </c>
      <c r="I173" s="2">
        <v>0.15</v>
      </c>
      <c r="J173" s="2">
        <f t="shared" si="2"/>
        <v>204000</v>
      </c>
      <c r="K173">
        <f>_xlfn.RANK.EQ(Data!J173,Data!J173:J672,1)</f>
        <v>303</v>
      </c>
    </row>
    <row r="174" spans="1:11" x14ac:dyDescent="0.25">
      <c r="A174" s="2">
        <v>1174</v>
      </c>
      <c r="B174" s="3">
        <v>45830</v>
      </c>
      <c r="C174" s="2" t="s">
        <v>10</v>
      </c>
      <c r="D174" s="2" t="s">
        <v>25</v>
      </c>
      <c r="E174" s="2" t="s">
        <v>16</v>
      </c>
      <c r="F174" s="2" t="s">
        <v>26</v>
      </c>
      <c r="G174" s="2">
        <v>3</v>
      </c>
      <c r="H174" s="2">
        <v>4000</v>
      </c>
      <c r="I174" s="2">
        <v>0</v>
      </c>
      <c r="J174" s="2">
        <f t="shared" si="2"/>
        <v>12000</v>
      </c>
      <c r="K174">
        <f>_xlfn.RANK.EQ(Data!J174,Data!J174:J673,1)</f>
        <v>152</v>
      </c>
    </row>
    <row r="175" spans="1:11" x14ac:dyDescent="0.25">
      <c r="A175" s="2">
        <v>1175</v>
      </c>
      <c r="B175" s="3">
        <v>45831</v>
      </c>
      <c r="C175" s="2" t="s">
        <v>14</v>
      </c>
      <c r="D175" s="2" t="s">
        <v>27</v>
      </c>
      <c r="E175" s="2" t="s">
        <v>20</v>
      </c>
      <c r="F175" s="2" t="s">
        <v>28</v>
      </c>
      <c r="G175" s="2">
        <v>6</v>
      </c>
      <c r="H175" s="2">
        <v>8000</v>
      </c>
      <c r="I175" s="2">
        <v>0.05</v>
      </c>
      <c r="J175" s="2">
        <f t="shared" si="2"/>
        <v>45600</v>
      </c>
      <c r="K175">
        <f>_xlfn.RANK.EQ(Data!J175,Data!J175:J674,1)</f>
        <v>213</v>
      </c>
    </row>
    <row r="176" spans="1:11" x14ac:dyDescent="0.25">
      <c r="A176" s="2">
        <v>1176</v>
      </c>
      <c r="B176" s="3">
        <v>45832</v>
      </c>
      <c r="C176" s="2" t="s">
        <v>18</v>
      </c>
      <c r="D176" s="2" t="s">
        <v>29</v>
      </c>
      <c r="E176" s="2" t="s">
        <v>12</v>
      </c>
      <c r="F176" s="2" t="s">
        <v>30</v>
      </c>
      <c r="G176" s="2">
        <v>9</v>
      </c>
      <c r="H176" s="2">
        <v>10000</v>
      </c>
      <c r="I176" s="2">
        <v>0.1</v>
      </c>
      <c r="J176" s="2">
        <f t="shared" si="2"/>
        <v>81000</v>
      </c>
      <c r="K176">
        <f>_xlfn.RANK.EQ(Data!J176,Data!J176:J675,1)</f>
        <v>241</v>
      </c>
    </row>
    <row r="177" spans="1:11" x14ac:dyDescent="0.25">
      <c r="A177" s="2">
        <v>1177</v>
      </c>
      <c r="B177" s="3">
        <v>45833</v>
      </c>
      <c r="C177" s="2" t="s">
        <v>22</v>
      </c>
      <c r="D177" s="2" t="s">
        <v>31</v>
      </c>
      <c r="E177" s="2" t="s">
        <v>16</v>
      </c>
      <c r="F177" s="2" t="s">
        <v>32</v>
      </c>
      <c r="G177" s="2">
        <v>12</v>
      </c>
      <c r="H177" s="2">
        <v>6000</v>
      </c>
      <c r="I177" s="2">
        <v>0.15</v>
      </c>
      <c r="J177" s="2">
        <f t="shared" si="2"/>
        <v>61200</v>
      </c>
      <c r="K177">
        <f>_xlfn.RANK.EQ(Data!J177,Data!J177:J676,1)</f>
        <v>224</v>
      </c>
    </row>
    <row r="178" spans="1:11" x14ac:dyDescent="0.25">
      <c r="A178" s="2">
        <v>1178</v>
      </c>
      <c r="B178" s="3">
        <v>45834</v>
      </c>
      <c r="C178" s="2" t="s">
        <v>10</v>
      </c>
      <c r="D178" s="2" t="s">
        <v>11</v>
      </c>
      <c r="E178" s="2" t="s">
        <v>20</v>
      </c>
      <c r="F178" s="2" t="s">
        <v>33</v>
      </c>
      <c r="G178" s="2">
        <v>15</v>
      </c>
      <c r="H178" s="2">
        <v>20</v>
      </c>
      <c r="I178" s="2">
        <v>0</v>
      </c>
      <c r="J178" s="2">
        <f t="shared" si="2"/>
        <v>300</v>
      </c>
      <c r="K178">
        <f>_xlfn.RANK.EQ(Data!J178,Data!J178:J677,1)</f>
        <v>44</v>
      </c>
    </row>
    <row r="179" spans="1:11" x14ac:dyDescent="0.25">
      <c r="A179" s="2">
        <v>1179</v>
      </c>
      <c r="B179" s="3">
        <v>45835</v>
      </c>
      <c r="C179" s="2" t="s">
        <v>14</v>
      </c>
      <c r="D179" s="2" t="s">
        <v>15</v>
      </c>
      <c r="E179" s="2" t="s">
        <v>12</v>
      </c>
      <c r="F179" s="2" t="s">
        <v>34</v>
      </c>
      <c r="G179" s="2">
        <v>18</v>
      </c>
      <c r="H179" s="2">
        <v>100</v>
      </c>
      <c r="I179" s="2">
        <v>0.05</v>
      </c>
      <c r="J179" s="2">
        <f t="shared" si="2"/>
        <v>1710</v>
      </c>
      <c r="K179">
        <f>_xlfn.RANK.EQ(Data!J179,Data!J179:J678,1)</f>
        <v>112</v>
      </c>
    </row>
    <row r="180" spans="1:11" x14ac:dyDescent="0.25">
      <c r="A180" s="2">
        <v>1180</v>
      </c>
      <c r="B180" s="3">
        <v>45836</v>
      </c>
      <c r="C180" s="2" t="s">
        <v>18</v>
      </c>
      <c r="D180" s="2" t="s">
        <v>19</v>
      </c>
      <c r="E180" s="2" t="s">
        <v>16</v>
      </c>
      <c r="F180" s="2" t="s">
        <v>35</v>
      </c>
      <c r="G180" s="2">
        <v>1</v>
      </c>
      <c r="H180" s="2">
        <v>50</v>
      </c>
      <c r="I180" s="2">
        <v>0.1</v>
      </c>
      <c r="J180" s="2">
        <f t="shared" si="2"/>
        <v>45</v>
      </c>
      <c r="K180">
        <f>_xlfn.RANK.EQ(Data!J180,Data!J180:J679,1)</f>
        <v>1</v>
      </c>
    </row>
    <row r="181" spans="1:11" x14ac:dyDescent="0.25">
      <c r="A181" s="2">
        <v>1181</v>
      </c>
      <c r="B181" s="3">
        <v>45837</v>
      </c>
      <c r="C181" s="2" t="s">
        <v>22</v>
      </c>
      <c r="D181" s="2" t="s">
        <v>23</v>
      </c>
      <c r="E181" s="2" t="s">
        <v>20</v>
      </c>
      <c r="F181" s="2" t="s">
        <v>36</v>
      </c>
      <c r="G181" s="2">
        <v>4</v>
      </c>
      <c r="H181" s="2">
        <v>30</v>
      </c>
      <c r="I181" s="2">
        <v>0.15</v>
      </c>
      <c r="J181" s="2">
        <f t="shared" si="2"/>
        <v>102</v>
      </c>
      <c r="K181">
        <f>_xlfn.RANK.EQ(Data!J181,Data!J181:J680,1)</f>
        <v>11</v>
      </c>
    </row>
    <row r="182" spans="1:11" x14ac:dyDescent="0.25">
      <c r="A182" s="2">
        <v>1182</v>
      </c>
      <c r="B182" s="3">
        <v>45838</v>
      </c>
      <c r="C182" s="2" t="s">
        <v>10</v>
      </c>
      <c r="D182" s="2" t="s">
        <v>25</v>
      </c>
      <c r="E182" s="2" t="s">
        <v>12</v>
      </c>
      <c r="F182" s="2" t="s">
        <v>13</v>
      </c>
      <c r="G182" s="2">
        <v>7</v>
      </c>
      <c r="H182" s="2">
        <v>50000</v>
      </c>
      <c r="I182" s="2">
        <v>0</v>
      </c>
      <c r="J182" s="2">
        <f t="shared" si="2"/>
        <v>350000</v>
      </c>
      <c r="K182">
        <f>_xlfn.RANK.EQ(Data!J182,Data!J182:J681,1)</f>
        <v>300</v>
      </c>
    </row>
    <row r="183" spans="1:11" x14ac:dyDescent="0.25">
      <c r="A183" s="2">
        <v>1183</v>
      </c>
      <c r="B183" s="3">
        <v>45839</v>
      </c>
      <c r="C183" s="2" t="s">
        <v>14</v>
      </c>
      <c r="D183" s="2" t="s">
        <v>27</v>
      </c>
      <c r="E183" s="2" t="s">
        <v>16</v>
      </c>
      <c r="F183" s="2" t="s">
        <v>17</v>
      </c>
      <c r="G183" s="2">
        <v>10</v>
      </c>
      <c r="H183" s="2">
        <v>500</v>
      </c>
      <c r="I183" s="2">
        <v>0.05</v>
      </c>
      <c r="J183" s="2">
        <f t="shared" si="2"/>
        <v>4750</v>
      </c>
      <c r="K183">
        <f>_xlfn.RANK.EQ(Data!J183,Data!J183:J682,1)</f>
        <v>121</v>
      </c>
    </row>
    <row r="184" spans="1:11" x14ac:dyDescent="0.25">
      <c r="A184" s="2">
        <v>1184</v>
      </c>
      <c r="B184" s="3">
        <v>45840</v>
      </c>
      <c r="C184" s="2" t="s">
        <v>18</v>
      </c>
      <c r="D184" s="2" t="s">
        <v>29</v>
      </c>
      <c r="E184" s="2" t="s">
        <v>20</v>
      </c>
      <c r="F184" s="2" t="s">
        <v>21</v>
      </c>
      <c r="G184" s="2">
        <v>13</v>
      </c>
      <c r="H184" s="2">
        <v>1500</v>
      </c>
      <c r="I184" s="2">
        <v>0.1</v>
      </c>
      <c r="J184" s="2">
        <f t="shared" si="2"/>
        <v>17550</v>
      </c>
      <c r="K184">
        <f>_xlfn.RANK.EQ(Data!J184,Data!J184:J683,1)</f>
        <v>164</v>
      </c>
    </row>
    <row r="185" spans="1:11" x14ac:dyDescent="0.25">
      <c r="A185" s="2">
        <v>1185</v>
      </c>
      <c r="B185" s="3">
        <v>45841</v>
      </c>
      <c r="C185" s="2" t="s">
        <v>22</v>
      </c>
      <c r="D185" s="2" t="s">
        <v>31</v>
      </c>
      <c r="E185" s="2" t="s">
        <v>12</v>
      </c>
      <c r="F185" s="2" t="s">
        <v>24</v>
      </c>
      <c r="G185" s="2">
        <v>16</v>
      </c>
      <c r="H185" s="2">
        <v>12000</v>
      </c>
      <c r="I185" s="2">
        <v>0.15</v>
      </c>
      <c r="J185" s="2">
        <f t="shared" si="2"/>
        <v>163200</v>
      </c>
      <c r="K185">
        <f>_xlfn.RANK.EQ(Data!J185,Data!J185:J684,1)</f>
        <v>287</v>
      </c>
    </row>
    <row r="186" spans="1:11" x14ac:dyDescent="0.25">
      <c r="A186" s="2">
        <v>1186</v>
      </c>
      <c r="B186" s="3">
        <v>45842</v>
      </c>
      <c r="C186" s="2" t="s">
        <v>10</v>
      </c>
      <c r="D186" s="2" t="s">
        <v>11</v>
      </c>
      <c r="E186" s="2" t="s">
        <v>16</v>
      </c>
      <c r="F186" s="2" t="s">
        <v>26</v>
      </c>
      <c r="G186" s="2">
        <v>19</v>
      </c>
      <c r="H186" s="2">
        <v>4000</v>
      </c>
      <c r="I186" s="2">
        <v>0</v>
      </c>
      <c r="J186" s="2">
        <f t="shared" si="2"/>
        <v>76000</v>
      </c>
      <c r="K186">
        <f>_xlfn.RANK.EQ(Data!J186,Data!J186:J685,1)</f>
        <v>223</v>
      </c>
    </row>
    <row r="187" spans="1:11" x14ac:dyDescent="0.25">
      <c r="A187" s="2">
        <v>1187</v>
      </c>
      <c r="B187" s="3">
        <v>45843</v>
      </c>
      <c r="C187" s="2" t="s">
        <v>14</v>
      </c>
      <c r="D187" s="2" t="s">
        <v>15</v>
      </c>
      <c r="E187" s="2" t="s">
        <v>20</v>
      </c>
      <c r="F187" s="2" t="s">
        <v>28</v>
      </c>
      <c r="G187" s="2">
        <v>2</v>
      </c>
      <c r="H187" s="2">
        <v>8000</v>
      </c>
      <c r="I187" s="2">
        <v>0.05</v>
      </c>
      <c r="J187" s="2">
        <f t="shared" si="2"/>
        <v>15200</v>
      </c>
      <c r="K187">
        <f>_xlfn.RANK.EQ(Data!J187,Data!J187:J686,1)</f>
        <v>158</v>
      </c>
    </row>
    <row r="188" spans="1:11" x14ac:dyDescent="0.25">
      <c r="A188" s="2">
        <v>1188</v>
      </c>
      <c r="B188" s="3">
        <v>45844</v>
      </c>
      <c r="C188" s="2" t="s">
        <v>18</v>
      </c>
      <c r="D188" s="2" t="s">
        <v>19</v>
      </c>
      <c r="E188" s="2" t="s">
        <v>12</v>
      </c>
      <c r="F188" s="2" t="s">
        <v>30</v>
      </c>
      <c r="G188" s="2">
        <v>5</v>
      </c>
      <c r="H188" s="2">
        <v>10000</v>
      </c>
      <c r="I188" s="2">
        <v>0.1</v>
      </c>
      <c r="J188" s="2">
        <f t="shared" si="2"/>
        <v>45000</v>
      </c>
      <c r="K188">
        <f>_xlfn.RANK.EQ(Data!J188,Data!J188:J687,1)</f>
        <v>200</v>
      </c>
    </row>
    <row r="189" spans="1:11" x14ac:dyDescent="0.25">
      <c r="A189" s="2">
        <v>1189</v>
      </c>
      <c r="B189" s="3">
        <v>45845</v>
      </c>
      <c r="C189" s="2" t="s">
        <v>22</v>
      </c>
      <c r="D189" s="2" t="s">
        <v>23</v>
      </c>
      <c r="E189" s="2" t="s">
        <v>16</v>
      </c>
      <c r="F189" s="2" t="s">
        <v>32</v>
      </c>
      <c r="G189" s="2">
        <v>8</v>
      </c>
      <c r="H189" s="2">
        <v>6000</v>
      </c>
      <c r="I189" s="2">
        <v>0.15</v>
      </c>
      <c r="J189" s="2">
        <f t="shared" si="2"/>
        <v>40800</v>
      </c>
      <c r="K189">
        <f>_xlfn.RANK.EQ(Data!J189,Data!J189:J688,1)</f>
        <v>184</v>
      </c>
    </row>
    <row r="190" spans="1:11" x14ac:dyDescent="0.25">
      <c r="A190" s="2">
        <v>1190</v>
      </c>
      <c r="B190" s="3">
        <v>45846</v>
      </c>
      <c r="C190" s="2" t="s">
        <v>10</v>
      </c>
      <c r="D190" s="2" t="s">
        <v>25</v>
      </c>
      <c r="E190" s="2" t="s">
        <v>20</v>
      </c>
      <c r="F190" s="2" t="s">
        <v>33</v>
      </c>
      <c r="G190" s="2">
        <v>11</v>
      </c>
      <c r="H190" s="2">
        <v>20</v>
      </c>
      <c r="I190" s="2">
        <v>0</v>
      </c>
      <c r="J190" s="2">
        <f t="shared" si="2"/>
        <v>220</v>
      </c>
      <c r="K190">
        <f>_xlfn.RANK.EQ(Data!J190,Data!J190:J689,1)</f>
        <v>31</v>
      </c>
    </row>
    <row r="191" spans="1:11" x14ac:dyDescent="0.25">
      <c r="A191" s="2">
        <v>1191</v>
      </c>
      <c r="B191" s="3">
        <v>45847</v>
      </c>
      <c r="C191" s="2" t="s">
        <v>14</v>
      </c>
      <c r="D191" s="2" t="s">
        <v>27</v>
      </c>
      <c r="E191" s="2" t="s">
        <v>12</v>
      </c>
      <c r="F191" s="2" t="s">
        <v>34</v>
      </c>
      <c r="G191" s="2">
        <v>14</v>
      </c>
      <c r="H191" s="2">
        <v>100</v>
      </c>
      <c r="I191" s="2">
        <v>0.05</v>
      </c>
      <c r="J191" s="2">
        <f t="shared" si="2"/>
        <v>1330</v>
      </c>
      <c r="K191">
        <f>_xlfn.RANK.EQ(Data!J191,Data!J191:J690,1)</f>
        <v>98</v>
      </c>
    </row>
    <row r="192" spans="1:11" x14ac:dyDescent="0.25">
      <c r="A192" s="2">
        <v>1192</v>
      </c>
      <c r="B192" s="3">
        <v>45848</v>
      </c>
      <c r="C192" s="2" t="s">
        <v>18</v>
      </c>
      <c r="D192" s="2" t="s">
        <v>29</v>
      </c>
      <c r="E192" s="2" t="s">
        <v>16</v>
      </c>
      <c r="F192" s="2" t="s">
        <v>35</v>
      </c>
      <c r="G192" s="2">
        <v>17</v>
      </c>
      <c r="H192" s="2">
        <v>50</v>
      </c>
      <c r="I192" s="2">
        <v>0.1</v>
      </c>
      <c r="J192" s="2">
        <f t="shared" si="2"/>
        <v>765</v>
      </c>
      <c r="K192">
        <f>_xlfn.RANK.EQ(Data!J192,Data!J192:J691,1)</f>
        <v>82</v>
      </c>
    </row>
    <row r="193" spans="1:11" x14ac:dyDescent="0.25">
      <c r="A193" s="2">
        <v>1193</v>
      </c>
      <c r="B193" s="3">
        <v>45849</v>
      </c>
      <c r="C193" s="2" t="s">
        <v>22</v>
      </c>
      <c r="D193" s="2" t="s">
        <v>31</v>
      </c>
      <c r="E193" s="2" t="s">
        <v>20</v>
      </c>
      <c r="F193" s="2" t="s">
        <v>36</v>
      </c>
      <c r="G193" s="2">
        <v>20</v>
      </c>
      <c r="H193" s="2">
        <v>30</v>
      </c>
      <c r="I193" s="2">
        <v>0.15</v>
      </c>
      <c r="J193" s="2">
        <f t="shared" si="2"/>
        <v>510</v>
      </c>
      <c r="K193">
        <f>_xlfn.RANK.EQ(Data!J193,Data!J193:J692,1)</f>
        <v>66</v>
      </c>
    </row>
    <row r="194" spans="1:11" x14ac:dyDescent="0.25">
      <c r="A194" s="2">
        <v>1194</v>
      </c>
      <c r="B194" s="3">
        <v>45850</v>
      </c>
      <c r="C194" s="2" t="s">
        <v>10</v>
      </c>
      <c r="D194" s="2" t="s">
        <v>11</v>
      </c>
      <c r="E194" s="2" t="s">
        <v>12</v>
      </c>
      <c r="F194" s="2" t="s">
        <v>13</v>
      </c>
      <c r="G194" s="2">
        <v>3</v>
      </c>
      <c r="H194" s="2">
        <v>50000</v>
      </c>
      <c r="I194" s="2">
        <v>0</v>
      </c>
      <c r="J194" s="2">
        <f t="shared" ref="J194:J257" si="3">G194*H194*(1-I194)</f>
        <v>150000</v>
      </c>
      <c r="K194">
        <f>_xlfn.RANK.EQ(Data!J194,Data!J194:J693,1)</f>
        <v>268</v>
      </c>
    </row>
    <row r="195" spans="1:11" x14ac:dyDescent="0.25">
      <c r="A195" s="2">
        <v>1195</v>
      </c>
      <c r="B195" s="3">
        <v>45851</v>
      </c>
      <c r="C195" s="2" t="s">
        <v>14</v>
      </c>
      <c r="D195" s="2" t="s">
        <v>15</v>
      </c>
      <c r="E195" s="2" t="s">
        <v>16</v>
      </c>
      <c r="F195" s="2" t="s">
        <v>17</v>
      </c>
      <c r="G195" s="2">
        <v>6</v>
      </c>
      <c r="H195" s="2">
        <v>500</v>
      </c>
      <c r="I195" s="2">
        <v>0.05</v>
      </c>
      <c r="J195" s="2">
        <f t="shared" si="3"/>
        <v>2850</v>
      </c>
      <c r="K195">
        <f>_xlfn.RANK.EQ(Data!J195,Data!J195:J694,1)</f>
        <v>111</v>
      </c>
    </row>
    <row r="196" spans="1:11" x14ac:dyDescent="0.25">
      <c r="A196" s="2">
        <v>1196</v>
      </c>
      <c r="B196" s="3">
        <v>45852</v>
      </c>
      <c r="C196" s="2" t="s">
        <v>18</v>
      </c>
      <c r="D196" s="2" t="s">
        <v>19</v>
      </c>
      <c r="E196" s="2" t="s">
        <v>20</v>
      </c>
      <c r="F196" s="2" t="s">
        <v>21</v>
      </c>
      <c r="G196" s="2">
        <v>9</v>
      </c>
      <c r="H196" s="2">
        <v>1500</v>
      </c>
      <c r="I196" s="2">
        <v>0.1</v>
      </c>
      <c r="J196" s="2">
        <f t="shared" si="3"/>
        <v>12150</v>
      </c>
      <c r="K196">
        <f>_xlfn.RANK.EQ(Data!J196,Data!J196:J695,1)</f>
        <v>147</v>
      </c>
    </row>
    <row r="197" spans="1:11" x14ac:dyDescent="0.25">
      <c r="A197" s="2">
        <v>1197</v>
      </c>
      <c r="B197" s="3">
        <v>45853</v>
      </c>
      <c r="C197" s="2" t="s">
        <v>22</v>
      </c>
      <c r="D197" s="2" t="s">
        <v>23</v>
      </c>
      <c r="E197" s="2" t="s">
        <v>12</v>
      </c>
      <c r="F197" s="2" t="s">
        <v>24</v>
      </c>
      <c r="G197" s="2">
        <v>12</v>
      </c>
      <c r="H197" s="2">
        <v>12000</v>
      </c>
      <c r="I197" s="2">
        <v>0.15</v>
      </c>
      <c r="J197" s="2">
        <f t="shared" si="3"/>
        <v>122400</v>
      </c>
      <c r="K197">
        <f>_xlfn.RANK.EQ(Data!J197,Data!J197:J696,1)</f>
        <v>254</v>
      </c>
    </row>
    <row r="198" spans="1:11" x14ac:dyDescent="0.25">
      <c r="A198" s="2">
        <v>1198</v>
      </c>
      <c r="B198" s="3">
        <v>45854</v>
      </c>
      <c r="C198" s="2" t="s">
        <v>10</v>
      </c>
      <c r="D198" s="2" t="s">
        <v>25</v>
      </c>
      <c r="E198" s="2" t="s">
        <v>16</v>
      </c>
      <c r="F198" s="2" t="s">
        <v>26</v>
      </c>
      <c r="G198" s="2">
        <v>15</v>
      </c>
      <c r="H198" s="2">
        <v>4000</v>
      </c>
      <c r="I198" s="2">
        <v>0</v>
      </c>
      <c r="J198" s="2">
        <f t="shared" si="3"/>
        <v>60000</v>
      </c>
      <c r="K198">
        <f>_xlfn.RANK.EQ(Data!J198,Data!J198:J697,1)</f>
        <v>203</v>
      </c>
    </row>
    <row r="199" spans="1:11" x14ac:dyDescent="0.25">
      <c r="A199" s="2">
        <v>1199</v>
      </c>
      <c r="B199" s="3">
        <v>45855</v>
      </c>
      <c r="C199" s="2" t="s">
        <v>14</v>
      </c>
      <c r="D199" s="2" t="s">
        <v>27</v>
      </c>
      <c r="E199" s="2" t="s">
        <v>20</v>
      </c>
      <c r="F199" s="2" t="s">
        <v>28</v>
      </c>
      <c r="G199" s="2">
        <v>18</v>
      </c>
      <c r="H199" s="2">
        <v>8000</v>
      </c>
      <c r="I199" s="2">
        <v>0.05</v>
      </c>
      <c r="J199" s="2">
        <f t="shared" si="3"/>
        <v>136800</v>
      </c>
      <c r="K199">
        <f>_xlfn.RANK.EQ(Data!J199,Data!J199:J698,1)</f>
        <v>258</v>
      </c>
    </row>
    <row r="200" spans="1:11" x14ac:dyDescent="0.25">
      <c r="A200" s="2">
        <v>1200</v>
      </c>
      <c r="B200" s="3">
        <v>45856</v>
      </c>
      <c r="C200" s="2" t="s">
        <v>18</v>
      </c>
      <c r="D200" s="2" t="s">
        <v>29</v>
      </c>
      <c r="E200" s="2" t="s">
        <v>12</v>
      </c>
      <c r="F200" s="2" t="s">
        <v>30</v>
      </c>
      <c r="G200" s="2">
        <v>1</v>
      </c>
      <c r="H200" s="2">
        <v>10000</v>
      </c>
      <c r="I200" s="2">
        <v>0.1</v>
      </c>
      <c r="J200" s="2">
        <f t="shared" si="3"/>
        <v>9000</v>
      </c>
      <c r="K200">
        <f>_xlfn.RANK.EQ(Data!J200,Data!J200:J699,1)</f>
        <v>136</v>
      </c>
    </row>
    <row r="201" spans="1:11" x14ac:dyDescent="0.25">
      <c r="A201" s="2">
        <v>1201</v>
      </c>
      <c r="B201" s="3">
        <v>45857</v>
      </c>
      <c r="C201" s="2" t="s">
        <v>22</v>
      </c>
      <c r="D201" s="2" t="s">
        <v>31</v>
      </c>
      <c r="E201" s="2" t="s">
        <v>16</v>
      </c>
      <c r="F201" s="2" t="s">
        <v>32</v>
      </c>
      <c r="G201" s="2">
        <v>4</v>
      </c>
      <c r="H201" s="2">
        <v>6000</v>
      </c>
      <c r="I201" s="2">
        <v>0.15</v>
      </c>
      <c r="J201" s="2">
        <f t="shared" si="3"/>
        <v>20400</v>
      </c>
      <c r="K201">
        <f>_xlfn.RANK.EQ(Data!J201,Data!J201:J700,1)</f>
        <v>161</v>
      </c>
    </row>
    <row r="202" spans="1:11" x14ac:dyDescent="0.25">
      <c r="A202" s="2">
        <v>1202</v>
      </c>
      <c r="B202" s="3">
        <v>45858</v>
      </c>
      <c r="C202" s="2" t="s">
        <v>10</v>
      </c>
      <c r="D202" s="2" t="s">
        <v>11</v>
      </c>
      <c r="E202" s="2" t="s">
        <v>20</v>
      </c>
      <c r="F202" s="2" t="s">
        <v>33</v>
      </c>
      <c r="G202" s="2">
        <v>7</v>
      </c>
      <c r="H202" s="2">
        <v>20</v>
      </c>
      <c r="I202" s="2">
        <v>0</v>
      </c>
      <c r="J202" s="2">
        <f t="shared" si="3"/>
        <v>140</v>
      </c>
      <c r="K202">
        <f>_xlfn.RANK.EQ(Data!J202,Data!J202:J701,1)</f>
        <v>16</v>
      </c>
    </row>
    <row r="203" spans="1:11" x14ac:dyDescent="0.25">
      <c r="A203" s="2">
        <v>1203</v>
      </c>
      <c r="B203" s="3">
        <v>45859</v>
      </c>
      <c r="C203" s="2" t="s">
        <v>14</v>
      </c>
      <c r="D203" s="2" t="s">
        <v>15</v>
      </c>
      <c r="E203" s="2" t="s">
        <v>12</v>
      </c>
      <c r="F203" s="2" t="s">
        <v>34</v>
      </c>
      <c r="G203" s="2">
        <v>10</v>
      </c>
      <c r="H203" s="2">
        <v>100</v>
      </c>
      <c r="I203" s="2">
        <v>0.05</v>
      </c>
      <c r="J203" s="2">
        <f t="shared" si="3"/>
        <v>950</v>
      </c>
      <c r="K203">
        <f>_xlfn.RANK.EQ(Data!J203,Data!J203:J702,1)</f>
        <v>85</v>
      </c>
    </row>
    <row r="204" spans="1:11" x14ac:dyDescent="0.25">
      <c r="A204" s="2">
        <v>1204</v>
      </c>
      <c r="B204" s="3">
        <v>45860</v>
      </c>
      <c r="C204" s="2" t="s">
        <v>18</v>
      </c>
      <c r="D204" s="2" t="s">
        <v>19</v>
      </c>
      <c r="E204" s="2" t="s">
        <v>16</v>
      </c>
      <c r="F204" s="2" t="s">
        <v>35</v>
      </c>
      <c r="G204" s="2">
        <v>13</v>
      </c>
      <c r="H204" s="2">
        <v>50</v>
      </c>
      <c r="I204" s="2">
        <v>0.1</v>
      </c>
      <c r="J204" s="2">
        <f t="shared" si="3"/>
        <v>585</v>
      </c>
      <c r="K204">
        <f>_xlfn.RANK.EQ(Data!J204,Data!J204:J703,1)</f>
        <v>75</v>
      </c>
    </row>
    <row r="205" spans="1:11" x14ac:dyDescent="0.25">
      <c r="A205" s="2">
        <v>1205</v>
      </c>
      <c r="B205" s="3">
        <v>45861</v>
      </c>
      <c r="C205" s="2" t="s">
        <v>22</v>
      </c>
      <c r="D205" s="2" t="s">
        <v>23</v>
      </c>
      <c r="E205" s="2" t="s">
        <v>20</v>
      </c>
      <c r="F205" s="2" t="s">
        <v>36</v>
      </c>
      <c r="G205" s="2">
        <v>16</v>
      </c>
      <c r="H205" s="2">
        <v>30</v>
      </c>
      <c r="I205" s="2">
        <v>0.15</v>
      </c>
      <c r="J205" s="2">
        <f t="shared" si="3"/>
        <v>408</v>
      </c>
      <c r="K205">
        <f>_xlfn.RANK.EQ(Data!J205,Data!J205:J704,1)</f>
        <v>60</v>
      </c>
    </row>
    <row r="206" spans="1:11" x14ac:dyDescent="0.25">
      <c r="A206" s="2">
        <v>1206</v>
      </c>
      <c r="B206" s="3">
        <v>45862</v>
      </c>
      <c r="C206" s="2" t="s">
        <v>10</v>
      </c>
      <c r="D206" s="2" t="s">
        <v>25</v>
      </c>
      <c r="E206" s="2" t="s">
        <v>12</v>
      </c>
      <c r="F206" s="2" t="s">
        <v>13</v>
      </c>
      <c r="G206" s="2">
        <v>19</v>
      </c>
      <c r="H206" s="2">
        <v>50000</v>
      </c>
      <c r="I206" s="2">
        <v>0</v>
      </c>
      <c r="J206" s="2">
        <f t="shared" si="3"/>
        <v>950000</v>
      </c>
      <c r="K206">
        <f>_xlfn.RANK.EQ(Data!J206,Data!J206:J705,1)</f>
        <v>292</v>
      </c>
    </row>
    <row r="207" spans="1:11" x14ac:dyDescent="0.25">
      <c r="A207" s="2">
        <v>1207</v>
      </c>
      <c r="B207" s="3">
        <v>45863</v>
      </c>
      <c r="C207" s="2" t="s">
        <v>14</v>
      </c>
      <c r="D207" s="2" t="s">
        <v>27</v>
      </c>
      <c r="E207" s="2" t="s">
        <v>16</v>
      </c>
      <c r="F207" s="2" t="s">
        <v>17</v>
      </c>
      <c r="G207" s="2">
        <v>2</v>
      </c>
      <c r="H207" s="2">
        <v>500</v>
      </c>
      <c r="I207" s="2">
        <v>0.05</v>
      </c>
      <c r="J207" s="2">
        <f t="shared" si="3"/>
        <v>950</v>
      </c>
      <c r="K207">
        <f>_xlfn.RANK.EQ(Data!J207,Data!J207:J706,1)</f>
        <v>83</v>
      </c>
    </row>
    <row r="208" spans="1:11" x14ac:dyDescent="0.25">
      <c r="A208" s="2">
        <v>1208</v>
      </c>
      <c r="B208" s="3">
        <v>45864</v>
      </c>
      <c r="C208" s="2" t="s">
        <v>18</v>
      </c>
      <c r="D208" s="2" t="s">
        <v>29</v>
      </c>
      <c r="E208" s="2" t="s">
        <v>20</v>
      </c>
      <c r="F208" s="2" t="s">
        <v>21</v>
      </c>
      <c r="G208" s="2">
        <v>5</v>
      </c>
      <c r="H208" s="2">
        <v>1500</v>
      </c>
      <c r="I208" s="2">
        <v>0.1</v>
      </c>
      <c r="J208" s="2">
        <f t="shared" si="3"/>
        <v>6750</v>
      </c>
      <c r="K208">
        <f>_xlfn.RANK.EQ(Data!J208,Data!J208:J707,1)</f>
        <v>121</v>
      </c>
    </row>
    <row r="209" spans="1:11" x14ac:dyDescent="0.25">
      <c r="A209" s="2">
        <v>1209</v>
      </c>
      <c r="B209" s="3">
        <v>45865</v>
      </c>
      <c r="C209" s="2" t="s">
        <v>22</v>
      </c>
      <c r="D209" s="2" t="s">
        <v>31</v>
      </c>
      <c r="E209" s="2" t="s">
        <v>12</v>
      </c>
      <c r="F209" s="2" t="s">
        <v>24</v>
      </c>
      <c r="G209" s="2">
        <v>8</v>
      </c>
      <c r="H209" s="2">
        <v>12000</v>
      </c>
      <c r="I209" s="2">
        <v>0.15</v>
      </c>
      <c r="J209" s="2">
        <f t="shared" si="3"/>
        <v>81600</v>
      </c>
      <c r="K209">
        <f>_xlfn.RANK.EQ(Data!J209,Data!J209:J708,1)</f>
        <v>220</v>
      </c>
    </row>
    <row r="210" spans="1:11" x14ac:dyDescent="0.25">
      <c r="A210" s="2">
        <v>1210</v>
      </c>
      <c r="B210" s="3">
        <v>45866</v>
      </c>
      <c r="C210" s="2" t="s">
        <v>10</v>
      </c>
      <c r="D210" s="2" t="s">
        <v>11</v>
      </c>
      <c r="E210" s="2" t="s">
        <v>16</v>
      </c>
      <c r="F210" s="2" t="s">
        <v>26</v>
      </c>
      <c r="G210" s="2">
        <v>11</v>
      </c>
      <c r="H210" s="2">
        <v>4000</v>
      </c>
      <c r="I210" s="2">
        <v>0</v>
      </c>
      <c r="J210" s="2">
        <f t="shared" si="3"/>
        <v>44000</v>
      </c>
      <c r="K210">
        <f>_xlfn.RANK.EQ(Data!J210,Data!J210:J709,1)</f>
        <v>180</v>
      </c>
    </row>
    <row r="211" spans="1:11" x14ac:dyDescent="0.25">
      <c r="A211" s="2">
        <v>1211</v>
      </c>
      <c r="B211" s="3">
        <v>45867</v>
      </c>
      <c r="C211" s="2" t="s">
        <v>14</v>
      </c>
      <c r="D211" s="2" t="s">
        <v>15</v>
      </c>
      <c r="E211" s="2" t="s">
        <v>20</v>
      </c>
      <c r="F211" s="2" t="s">
        <v>28</v>
      </c>
      <c r="G211" s="2">
        <v>14</v>
      </c>
      <c r="H211" s="2">
        <v>8000</v>
      </c>
      <c r="I211" s="2">
        <v>0.05</v>
      </c>
      <c r="J211" s="2">
        <f t="shared" si="3"/>
        <v>106400</v>
      </c>
      <c r="K211">
        <f>_xlfn.RANK.EQ(Data!J211,Data!J211:J710,1)</f>
        <v>233</v>
      </c>
    </row>
    <row r="212" spans="1:11" x14ac:dyDescent="0.25">
      <c r="A212" s="2">
        <v>1212</v>
      </c>
      <c r="B212" s="3">
        <v>45868</v>
      </c>
      <c r="C212" s="2" t="s">
        <v>18</v>
      </c>
      <c r="D212" s="2" t="s">
        <v>19</v>
      </c>
      <c r="E212" s="2" t="s">
        <v>12</v>
      </c>
      <c r="F212" s="2" t="s">
        <v>30</v>
      </c>
      <c r="G212" s="2">
        <v>17</v>
      </c>
      <c r="H212" s="2">
        <v>10000</v>
      </c>
      <c r="I212" s="2">
        <v>0.1</v>
      </c>
      <c r="J212" s="2">
        <f t="shared" si="3"/>
        <v>153000</v>
      </c>
      <c r="K212">
        <f>_xlfn.RANK.EQ(Data!J212,Data!J212:J711,1)</f>
        <v>257</v>
      </c>
    </row>
    <row r="213" spans="1:11" x14ac:dyDescent="0.25">
      <c r="A213" s="2">
        <v>1213</v>
      </c>
      <c r="B213" s="3">
        <v>45869</v>
      </c>
      <c r="C213" s="2" t="s">
        <v>22</v>
      </c>
      <c r="D213" s="2" t="s">
        <v>23</v>
      </c>
      <c r="E213" s="2" t="s">
        <v>16</v>
      </c>
      <c r="F213" s="2" t="s">
        <v>32</v>
      </c>
      <c r="G213" s="2">
        <v>20</v>
      </c>
      <c r="H213" s="2">
        <v>6000</v>
      </c>
      <c r="I213" s="2">
        <v>0.15</v>
      </c>
      <c r="J213" s="2">
        <f t="shared" si="3"/>
        <v>102000</v>
      </c>
      <c r="K213">
        <f>_xlfn.RANK.EQ(Data!J213,Data!J213:J712,1)</f>
        <v>228</v>
      </c>
    </row>
    <row r="214" spans="1:11" x14ac:dyDescent="0.25">
      <c r="A214" s="2">
        <v>1214</v>
      </c>
      <c r="B214" s="3">
        <v>45870</v>
      </c>
      <c r="C214" s="2" t="s">
        <v>10</v>
      </c>
      <c r="D214" s="2" t="s">
        <v>25</v>
      </c>
      <c r="E214" s="2" t="s">
        <v>20</v>
      </c>
      <c r="F214" s="2" t="s">
        <v>33</v>
      </c>
      <c r="G214" s="2">
        <v>3</v>
      </c>
      <c r="H214" s="2">
        <v>20</v>
      </c>
      <c r="I214" s="2">
        <v>0</v>
      </c>
      <c r="J214" s="2">
        <f t="shared" si="3"/>
        <v>60</v>
      </c>
      <c r="K214">
        <f>_xlfn.RANK.EQ(Data!J214,Data!J214:J713,1)</f>
        <v>6</v>
      </c>
    </row>
    <row r="215" spans="1:11" x14ac:dyDescent="0.25">
      <c r="A215" s="2">
        <v>1215</v>
      </c>
      <c r="B215" s="3">
        <v>45871</v>
      </c>
      <c r="C215" s="2" t="s">
        <v>14</v>
      </c>
      <c r="D215" s="2" t="s">
        <v>27</v>
      </c>
      <c r="E215" s="2" t="s">
        <v>12</v>
      </c>
      <c r="F215" s="2" t="s">
        <v>34</v>
      </c>
      <c r="G215" s="2">
        <v>6</v>
      </c>
      <c r="H215" s="2">
        <v>100</v>
      </c>
      <c r="I215" s="2">
        <v>0.05</v>
      </c>
      <c r="J215" s="2">
        <f t="shared" si="3"/>
        <v>570</v>
      </c>
      <c r="K215">
        <f>_xlfn.RANK.EQ(Data!J215,Data!J215:J714,1)</f>
        <v>68</v>
      </c>
    </row>
    <row r="216" spans="1:11" x14ac:dyDescent="0.25">
      <c r="A216" s="2">
        <v>1216</v>
      </c>
      <c r="B216" s="3">
        <v>45872</v>
      </c>
      <c r="C216" s="2" t="s">
        <v>18</v>
      </c>
      <c r="D216" s="2" t="s">
        <v>29</v>
      </c>
      <c r="E216" s="2" t="s">
        <v>16</v>
      </c>
      <c r="F216" s="2" t="s">
        <v>35</v>
      </c>
      <c r="G216" s="2">
        <v>9</v>
      </c>
      <c r="H216" s="2">
        <v>50</v>
      </c>
      <c r="I216" s="2">
        <v>0.1</v>
      </c>
      <c r="J216" s="2">
        <f t="shared" si="3"/>
        <v>405</v>
      </c>
      <c r="K216">
        <f>_xlfn.RANK.EQ(Data!J216,Data!J216:J715,1)</f>
        <v>54</v>
      </c>
    </row>
    <row r="217" spans="1:11" x14ac:dyDescent="0.25">
      <c r="A217" s="2">
        <v>1217</v>
      </c>
      <c r="B217" s="3">
        <v>45873</v>
      </c>
      <c r="C217" s="2" t="s">
        <v>22</v>
      </c>
      <c r="D217" s="2" t="s">
        <v>31</v>
      </c>
      <c r="E217" s="2" t="s">
        <v>20</v>
      </c>
      <c r="F217" s="2" t="s">
        <v>36</v>
      </c>
      <c r="G217" s="2">
        <v>12</v>
      </c>
      <c r="H217" s="2">
        <v>30</v>
      </c>
      <c r="I217" s="2">
        <v>0.15</v>
      </c>
      <c r="J217" s="2">
        <f t="shared" si="3"/>
        <v>306</v>
      </c>
      <c r="K217">
        <f>_xlfn.RANK.EQ(Data!J217,Data!J217:J716,1)</f>
        <v>44</v>
      </c>
    </row>
    <row r="218" spans="1:11" x14ac:dyDescent="0.25">
      <c r="A218" s="2">
        <v>1218</v>
      </c>
      <c r="B218" s="3">
        <v>45874</v>
      </c>
      <c r="C218" s="2" t="s">
        <v>10</v>
      </c>
      <c r="D218" s="2" t="s">
        <v>11</v>
      </c>
      <c r="E218" s="2" t="s">
        <v>12</v>
      </c>
      <c r="F218" s="2" t="s">
        <v>13</v>
      </c>
      <c r="G218" s="2">
        <v>15</v>
      </c>
      <c r="H218" s="2">
        <v>50000</v>
      </c>
      <c r="I218" s="2">
        <v>0</v>
      </c>
      <c r="J218" s="2">
        <f t="shared" si="3"/>
        <v>750000</v>
      </c>
      <c r="K218">
        <f>_xlfn.RANK.EQ(Data!J218,Data!J218:J717,1)</f>
        <v>276</v>
      </c>
    </row>
    <row r="219" spans="1:11" x14ac:dyDescent="0.25">
      <c r="A219" s="2">
        <v>1219</v>
      </c>
      <c r="B219" s="3">
        <v>45875</v>
      </c>
      <c r="C219" s="2" t="s">
        <v>14</v>
      </c>
      <c r="D219" s="2" t="s">
        <v>15</v>
      </c>
      <c r="E219" s="2" t="s">
        <v>16</v>
      </c>
      <c r="F219" s="2" t="s">
        <v>17</v>
      </c>
      <c r="G219" s="2">
        <v>18</v>
      </c>
      <c r="H219" s="2">
        <v>500</v>
      </c>
      <c r="I219" s="2">
        <v>0.05</v>
      </c>
      <c r="J219" s="2">
        <f t="shared" si="3"/>
        <v>8550</v>
      </c>
      <c r="K219">
        <f>_xlfn.RANK.EQ(Data!J219,Data!J219:J718,1)</f>
        <v>121</v>
      </c>
    </row>
    <row r="220" spans="1:11" x14ac:dyDescent="0.25">
      <c r="A220" s="2">
        <v>1220</v>
      </c>
      <c r="B220" s="3">
        <v>45876</v>
      </c>
      <c r="C220" s="2" t="s">
        <v>18</v>
      </c>
      <c r="D220" s="2" t="s">
        <v>19</v>
      </c>
      <c r="E220" s="2" t="s">
        <v>20</v>
      </c>
      <c r="F220" s="2" t="s">
        <v>21</v>
      </c>
      <c r="G220" s="2">
        <v>1</v>
      </c>
      <c r="H220" s="2">
        <v>1500</v>
      </c>
      <c r="I220" s="2">
        <v>0.1</v>
      </c>
      <c r="J220" s="2">
        <f t="shared" si="3"/>
        <v>1350</v>
      </c>
      <c r="K220">
        <f>_xlfn.RANK.EQ(Data!J220,Data!J220:J719,1)</f>
        <v>92</v>
      </c>
    </row>
    <row r="221" spans="1:11" x14ac:dyDescent="0.25">
      <c r="A221" s="2">
        <v>1221</v>
      </c>
      <c r="B221" s="3">
        <v>45877</v>
      </c>
      <c r="C221" s="2" t="s">
        <v>22</v>
      </c>
      <c r="D221" s="2" t="s">
        <v>23</v>
      </c>
      <c r="E221" s="2" t="s">
        <v>12</v>
      </c>
      <c r="F221" s="2" t="s">
        <v>24</v>
      </c>
      <c r="G221" s="2">
        <v>4</v>
      </c>
      <c r="H221" s="2">
        <v>12000</v>
      </c>
      <c r="I221" s="2">
        <v>0.15</v>
      </c>
      <c r="J221" s="2">
        <f t="shared" si="3"/>
        <v>40800</v>
      </c>
      <c r="K221">
        <f>_xlfn.RANK.EQ(Data!J221,Data!J221:J720,1)</f>
        <v>164</v>
      </c>
    </row>
    <row r="222" spans="1:11" x14ac:dyDescent="0.25">
      <c r="A222" s="2">
        <v>1222</v>
      </c>
      <c r="B222" s="3">
        <v>45878</v>
      </c>
      <c r="C222" s="2" t="s">
        <v>10</v>
      </c>
      <c r="D222" s="2" t="s">
        <v>25</v>
      </c>
      <c r="E222" s="2" t="s">
        <v>16</v>
      </c>
      <c r="F222" s="2" t="s">
        <v>26</v>
      </c>
      <c r="G222" s="2">
        <v>7</v>
      </c>
      <c r="H222" s="2">
        <v>4000</v>
      </c>
      <c r="I222" s="2">
        <v>0</v>
      </c>
      <c r="J222" s="2">
        <f t="shared" si="3"/>
        <v>28000</v>
      </c>
      <c r="K222">
        <f>_xlfn.RANK.EQ(Data!J222,Data!J222:J721,1)</f>
        <v>159</v>
      </c>
    </row>
    <row r="223" spans="1:11" x14ac:dyDescent="0.25">
      <c r="A223" s="2">
        <v>1223</v>
      </c>
      <c r="B223" s="3">
        <v>45879</v>
      </c>
      <c r="C223" s="2" t="s">
        <v>14</v>
      </c>
      <c r="D223" s="2" t="s">
        <v>27</v>
      </c>
      <c r="E223" s="2" t="s">
        <v>20</v>
      </c>
      <c r="F223" s="2" t="s">
        <v>28</v>
      </c>
      <c r="G223" s="2">
        <v>10</v>
      </c>
      <c r="H223" s="2">
        <v>8000</v>
      </c>
      <c r="I223" s="2">
        <v>0.05</v>
      </c>
      <c r="J223" s="2">
        <f t="shared" si="3"/>
        <v>76000</v>
      </c>
      <c r="K223">
        <f>_xlfn.RANK.EQ(Data!J223,Data!J223:J722,1)</f>
        <v>196</v>
      </c>
    </row>
    <row r="224" spans="1:11" x14ac:dyDescent="0.25">
      <c r="A224" s="2">
        <v>1224</v>
      </c>
      <c r="B224" s="3">
        <v>45880</v>
      </c>
      <c r="C224" s="2" t="s">
        <v>18</v>
      </c>
      <c r="D224" s="2" t="s">
        <v>29</v>
      </c>
      <c r="E224" s="2" t="s">
        <v>12</v>
      </c>
      <c r="F224" s="2" t="s">
        <v>30</v>
      </c>
      <c r="G224" s="2">
        <v>13</v>
      </c>
      <c r="H224" s="2">
        <v>10000</v>
      </c>
      <c r="I224" s="2">
        <v>0.1</v>
      </c>
      <c r="J224" s="2">
        <f t="shared" si="3"/>
        <v>117000</v>
      </c>
      <c r="K224">
        <f>_xlfn.RANK.EQ(Data!J224,Data!J224:J723,1)</f>
        <v>227</v>
      </c>
    </row>
    <row r="225" spans="1:11" x14ac:dyDescent="0.25">
      <c r="A225" s="2">
        <v>1225</v>
      </c>
      <c r="B225" s="3">
        <v>45881</v>
      </c>
      <c r="C225" s="2" t="s">
        <v>22</v>
      </c>
      <c r="D225" s="2" t="s">
        <v>31</v>
      </c>
      <c r="E225" s="2" t="s">
        <v>16</v>
      </c>
      <c r="F225" s="2" t="s">
        <v>32</v>
      </c>
      <c r="G225" s="2">
        <v>16</v>
      </c>
      <c r="H225" s="2">
        <v>6000</v>
      </c>
      <c r="I225" s="2">
        <v>0.15</v>
      </c>
      <c r="J225" s="2">
        <f t="shared" si="3"/>
        <v>81600</v>
      </c>
      <c r="K225">
        <f>_xlfn.RANK.EQ(Data!J225,Data!J225:J724,1)</f>
        <v>210</v>
      </c>
    </row>
    <row r="226" spans="1:11" x14ac:dyDescent="0.25">
      <c r="A226" s="2">
        <v>1226</v>
      </c>
      <c r="B226" s="3">
        <v>45882</v>
      </c>
      <c r="C226" s="2" t="s">
        <v>10</v>
      </c>
      <c r="D226" s="2" t="s">
        <v>11</v>
      </c>
      <c r="E226" s="2" t="s">
        <v>20</v>
      </c>
      <c r="F226" s="2" t="s">
        <v>33</v>
      </c>
      <c r="G226" s="2">
        <v>19</v>
      </c>
      <c r="H226" s="2">
        <v>20</v>
      </c>
      <c r="I226" s="2">
        <v>0</v>
      </c>
      <c r="J226" s="2">
        <f t="shared" si="3"/>
        <v>380</v>
      </c>
      <c r="K226">
        <f>_xlfn.RANK.EQ(Data!J226,Data!J226:J725,1)</f>
        <v>48</v>
      </c>
    </row>
    <row r="227" spans="1:11" x14ac:dyDescent="0.25">
      <c r="A227" s="2">
        <v>1227</v>
      </c>
      <c r="B227" s="3">
        <v>45883</v>
      </c>
      <c r="C227" s="2" t="s">
        <v>14</v>
      </c>
      <c r="D227" s="2" t="s">
        <v>15</v>
      </c>
      <c r="E227" s="2" t="s">
        <v>12</v>
      </c>
      <c r="F227" s="2" t="s">
        <v>34</v>
      </c>
      <c r="G227" s="2">
        <v>2</v>
      </c>
      <c r="H227" s="2">
        <v>100</v>
      </c>
      <c r="I227" s="2">
        <v>0.05</v>
      </c>
      <c r="J227" s="2">
        <f t="shared" si="3"/>
        <v>190</v>
      </c>
      <c r="K227">
        <f>_xlfn.RANK.EQ(Data!J227,Data!J227:J726,1)</f>
        <v>19</v>
      </c>
    </row>
    <row r="228" spans="1:11" x14ac:dyDescent="0.25">
      <c r="A228" s="2">
        <v>1228</v>
      </c>
      <c r="B228" s="3">
        <v>45884</v>
      </c>
      <c r="C228" s="2" t="s">
        <v>18</v>
      </c>
      <c r="D228" s="2" t="s">
        <v>19</v>
      </c>
      <c r="E228" s="2" t="s">
        <v>16</v>
      </c>
      <c r="F228" s="2" t="s">
        <v>35</v>
      </c>
      <c r="G228" s="2">
        <v>5</v>
      </c>
      <c r="H228" s="2">
        <v>50</v>
      </c>
      <c r="I228" s="2">
        <v>0.1</v>
      </c>
      <c r="J228" s="2">
        <f t="shared" si="3"/>
        <v>225</v>
      </c>
      <c r="K228">
        <f>_xlfn.RANK.EQ(Data!J228,Data!J228:J727,1)</f>
        <v>33</v>
      </c>
    </row>
    <row r="229" spans="1:11" x14ac:dyDescent="0.25">
      <c r="A229" s="2">
        <v>1229</v>
      </c>
      <c r="B229" s="3">
        <v>45885</v>
      </c>
      <c r="C229" s="2" t="s">
        <v>22</v>
      </c>
      <c r="D229" s="2" t="s">
        <v>23</v>
      </c>
      <c r="E229" s="2" t="s">
        <v>20</v>
      </c>
      <c r="F229" s="2" t="s">
        <v>36</v>
      </c>
      <c r="G229" s="2">
        <v>8</v>
      </c>
      <c r="H229" s="2">
        <v>30</v>
      </c>
      <c r="I229" s="2">
        <v>0.15</v>
      </c>
      <c r="J229" s="2">
        <f t="shared" si="3"/>
        <v>204</v>
      </c>
      <c r="K229">
        <f>_xlfn.RANK.EQ(Data!J229,Data!J229:J728,1)</f>
        <v>23</v>
      </c>
    </row>
    <row r="230" spans="1:11" x14ac:dyDescent="0.25">
      <c r="A230" s="2">
        <v>1230</v>
      </c>
      <c r="B230" s="3">
        <v>45886</v>
      </c>
      <c r="C230" s="2" t="s">
        <v>10</v>
      </c>
      <c r="D230" s="2" t="s">
        <v>25</v>
      </c>
      <c r="E230" s="2" t="s">
        <v>12</v>
      </c>
      <c r="F230" s="2" t="s">
        <v>13</v>
      </c>
      <c r="G230" s="2">
        <v>11</v>
      </c>
      <c r="H230" s="2">
        <v>50000</v>
      </c>
      <c r="I230" s="2">
        <v>0</v>
      </c>
      <c r="J230" s="2">
        <f t="shared" si="3"/>
        <v>550000</v>
      </c>
      <c r="K230">
        <f>_xlfn.RANK.EQ(Data!J230,Data!J230:J729,1)</f>
        <v>260</v>
      </c>
    </row>
    <row r="231" spans="1:11" x14ac:dyDescent="0.25">
      <c r="A231" s="2">
        <v>1231</v>
      </c>
      <c r="B231" s="3">
        <v>45887</v>
      </c>
      <c r="C231" s="2" t="s">
        <v>14</v>
      </c>
      <c r="D231" s="2" t="s">
        <v>27</v>
      </c>
      <c r="E231" s="2" t="s">
        <v>16</v>
      </c>
      <c r="F231" s="2" t="s">
        <v>17</v>
      </c>
      <c r="G231" s="2">
        <v>14</v>
      </c>
      <c r="H231" s="2">
        <v>500</v>
      </c>
      <c r="I231" s="2">
        <v>0.05</v>
      </c>
      <c r="J231" s="2">
        <f t="shared" si="3"/>
        <v>6650</v>
      </c>
      <c r="K231">
        <f>_xlfn.RANK.EQ(Data!J231,Data!J231:J730,1)</f>
        <v>107</v>
      </c>
    </row>
    <row r="232" spans="1:11" x14ac:dyDescent="0.25">
      <c r="A232" s="2">
        <v>1232</v>
      </c>
      <c r="B232" s="3">
        <v>45888</v>
      </c>
      <c r="C232" s="2" t="s">
        <v>18</v>
      </c>
      <c r="D232" s="2" t="s">
        <v>29</v>
      </c>
      <c r="E232" s="2" t="s">
        <v>20</v>
      </c>
      <c r="F232" s="2" t="s">
        <v>21</v>
      </c>
      <c r="G232" s="2">
        <v>17</v>
      </c>
      <c r="H232" s="2">
        <v>1500</v>
      </c>
      <c r="I232" s="2">
        <v>0.1</v>
      </c>
      <c r="J232" s="2">
        <f t="shared" si="3"/>
        <v>22950</v>
      </c>
      <c r="K232">
        <f>_xlfn.RANK.EQ(Data!J232,Data!J232:J731,1)</f>
        <v>149</v>
      </c>
    </row>
    <row r="233" spans="1:11" x14ac:dyDescent="0.25">
      <c r="A233" s="2">
        <v>1233</v>
      </c>
      <c r="B233" s="3">
        <v>45889</v>
      </c>
      <c r="C233" s="2" t="s">
        <v>22</v>
      </c>
      <c r="D233" s="2" t="s">
        <v>31</v>
      </c>
      <c r="E233" s="2" t="s">
        <v>12</v>
      </c>
      <c r="F233" s="2" t="s">
        <v>24</v>
      </c>
      <c r="G233" s="2">
        <v>20</v>
      </c>
      <c r="H233" s="2">
        <v>12000</v>
      </c>
      <c r="I233" s="2">
        <v>0.15</v>
      </c>
      <c r="J233" s="2">
        <f t="shared" si="3"/>
        <v>204000</v>
      </c>
      <c r="K233">
        <f>_xlfn.RANK.EQ(Data!J233,Data!J233:J732,1)</f>
        <v>248</v>
      </c>
    </row>
    <row r="234" spans="1:11" x14ac:dyDescent="0.25">
      <c r="A234" s="2">
        <v>1234</v>
      </c>
      <c r="B234" s="3">
        <v>45890</v>
      </c>
      <c r="C234" s="2" t="s">
        <v>10</v>
      </c>
      <c r="D234" s="2" t="s">
        <v>11</v>
      </c>
      <c r="E234" s="2" t="s">
        <v>16</v>
      </c>
      <c r="F234" s="2" t="s">
        <v>26</v>
      </c>
      <c r="G234" s="2">
        <v>3</v>
      </c>
      <c r="H234" s="2">
        <v>4000</v>
      </c>
      <c r="I234" s="2">
        <v>0</v>
      </c>
      <c r="J234" s="2">
        <f t="shared" si="3"/>
        <v>12000</v>
      </c>
      <c r="K234">
        <f>_xlfn.RANK.EQ(Data!J234,Data!J234:J733,1)</f>
        <v>124</v>
      </c>
    </row>
    <row r="235" spans="1:11" x14ac:dyDescent="0.25">
      <c r="A235" s="2">
        <v>1235</v>
      </c>
      <c r="B235" s="3">
        <v>45891</v>
      </c>
      <c r="C235" s="2" t="s">
        <v>14</v>
      </c>
      <c r="D235" s="2" t="s">
        <v>15</v>
      </c>
      <c r="E235" s="2" t="s">
        <v>20</v>
      </c>
      <c r="F235" s="2" t="s">
        <v>28</v>
      </c>
      <c r="G235" s="2">
        <v>6</v>
      </c>
      <c r="H235" s="2">
        <v>8000</v>
      </c>
      <c r="I235" s="2">
        <v>0.05</v>
      </c>
      <c r="J235" s="2">
        <f t="shared" si="3"/>
        <v>45600</v>
      </c>
      <c r="K235">
        <f>_xlfn.RANK.EQ(Data!J235,Data!J235:J734,1)</f>
        <v>174</v>
      </c>
    </row>
    <row r="236" spans="1:11" x14ac:dyDescent="0.25">
      <c r="A236" s="2">
        <v>1236</v>
      </c>
      <c r="B236" s="3">
        <v>45892</v>
      </c>
      <c r="C236" s="2" t="s">
        <v>18</v>
      </c>
      <c r="D236" s="2" t="s">
        <v>19</v>
      </c>
      <c r="E236" s="2" t="s">
        <v>12</v>
      </c>
      <c r="F236" s="2" t="s">
        <v>30</v>
      </c>
      <c r="G236" s="2">
        <v>9</v>
      </c>
      <c r="H236" s="2">
        <v>10000</v>
      </c>
      <c r="I236" s="2">
        <v>0.1</v>
      </c>
      <c r="J236" s="2">
        <f t="shared" si="3"/>
        <v>81000</v>
      </c>
      <c r="K236">
        <f>_xlfn.RANK.EQ(Data!J236,Data!J236:J735,1)</f>
        <v>197</v>
      </c>
    </row>
    <row r="237" spans="1:11" x14ac:dyDescent="0.25">
      <c r="A237" s="2">
        <v>1237</v>
      </c>
      <c r="B237" s="3">
        <v>45893</v>
      </c>
      <c r="C237" s="2" t="s">
        <v>22</v>
      </c>
      <c r="D237" s="2" t="s">
        <v>23</v>
      </c>
      <c r="E237" s="2" t="s">
        <v>16</v>
      </c>
      <c r="F237" s="2" t="s">
        <v>32</v>
      </c>
      <c r="G237" s="2">
        <v>12</v>
      </c>
      <c r="H237" s="2">
        <v>6000</v>
      </c>
      <c r="I237" s="2">
        <v>0.15</v>
      </c>
      <c r="J237" s="2">
        <f t="shared" si="3"/>
        <v>61200</v>
      </c>
      <c r="K237">
        <f>_xlfn.RANK.EQ(Data!J237,Data!J237:J736,1)</f>
        <v>183</v>
      </c>
    </row>
    <row r="238" spans="1:11" x14ac:dyDescent="0.25">
      <c r="A238" s="2">
        <v>1238</v>
      </c>
      <c r="B238" s="3">
        <v>45894</v>
      </c>
      <c r="C238" s="2" t="s">
        <v>10</v>
      </c>
      <c r="D238" s="2" t="s">
        <v>25</v>
      </c>
      <c r="E238" s="2" t="s">
        <v>20</v>
      </c>
      <c r="F238" s="2" t="s">
        <v>33</v>
      </c>
      <c r="G238" s="2">
        <v>15</v>
      </c>
      <c r="H238" s="2">
        <v>20</v>
      </c>
      <c r="I238" s="2">
        <v>0</v>
      </c>
      <c r="J238" s="2">
        <f t="shared" si="3"/>
        <v>300</v>
      </c>
      <c r="K238">
        <f>_xlfn.RANK.EQ(Data!J238,Data!J238:J737,1)</f>
        <v>36</v>
      </c>
    </row>
    <row r="239" spans="1:11" x14ac:dyDescent="0.25">
      <c r="A239" s="2">
        <v>1239</v>
      </c>
      <c r="B239" s="3">
        <v>45895</v>
      </c>
      <c r="C239" s="2" t="s">
        <v>14</v>
      </c>
      <c r="D239" s="2" t="s">
        <v>27</v>
      </c>
      <c r="E239" s="2" t="s">
        <v>12</v>
      </c>
      <c r="F239" s="2" t="s">
        <v>34</v>
      </c>
      <c r="G239" s="2">
        <v>18</v>
      </c>
      <c r="H239" s="2">
        <v>100</v>
      </c>
      <c r="I239" s="2">
        <v>0.05</v>
      </c>
      <c r="J239" s="2">
        <f t="shared" si="3"/>
        <v>1710</v>
      </c>
      <c r="K239">
        <f>_xlfn.RANK.EQ(Data!J239,Data!J239:J738,1)</f>
        <v>91</v>
      </c>
    </row>
    <row r="240" spans="1:11" x14ac:dyDescent="0.25">
      <c r="A240" s="2">
        <v>1240</v>
      </c>
      <c r="B240" s="3">
        <v>45896</v>
      </c>
      <c r="C240" s="2" t="s">
        <v>18</v>
      </c>
      <c r="D240" s="2" t="s">
        <v>29</v>
      </c>
      <c r="E240" s="2" t="s">
        <v>16</v>
      </c>
      <c r="F240" s="2" t="s">
        <v>35</v>
      </c>
      <c r="G240" s="2">
        <v>1</v>
      </c>
      <c r="H240" s="2">
        <v>50</v>
      </c>
      <c r="I240" s="2">
        <v>0.1</v>
      </c>
      <c r="J240" s="2">
        <f t="shared" si="3"/>
        <v>45</v>
      </c>
      <c r="K240">
        <f>_xlfn.RANK.EQ(Data!J240,Data!J240:J739,1)</f>
        <v>1</v>
      </c>
    </row>
    <row r="241" spans="1:11" x14ac:dyDescent="0.25">
      <c r="A241" s="2">
        <v>1241</v>
      </c>
      <c r="B241" s="3">
        <v>45897</v>
      </c>
      <c r="C241" s="2" t="s">
        <v>22</v>
      </c>
      <c r="D241" s="2" t="s">
        <v>31</v>
      </c>
      <c r="E241" s="2" t="s">
        <v>20</v>
      </c>
      <c r="F241" s="2" t="s">
        <v>36</v>
      </c>
      <c r="G241" s="2">
        <v>4</v>
      </c>
      <c r="H241" s="2">
        <v>30</v>
      </c>
      <c r="I241" s="2">
        <v>0.15</v>
      </c>
      <c r="J241" s="2">
        <f t="shared" si="3"/>
        <v>102</v>
      </c>
      <c r="K241">
        <f>_xlfn.RANK.EQ(Data!J241,Data!J241:J740,1)</f>
        <v>9</v>
      </c>
    </row>
    <row r="242" spans="1:11" x14ac:dyDescent="0.25">
      <c r="A242" s="2">
        <v>1242</v>
      </c>
      <c r="B242" s="3">
        <v>45898</v>
      </c>
      <c r="C242" s="2" t="s">
        <v>10</v>
      </c>
      <c r="D242" s="2" t="s">
        <v>11</v>
      </c>
      <c r="E242" s="2" t="s">
        <v>12</v>
      </c>
      <c r="F242" s="2" t="s">
        <v>13</v>
      </c>
      <c r="G242" s="2">
        <v>7</v>
      </c>
      <c r="H242" s="2">
        <v>50000</v>
      </c>
      <c r="I242" s="2">
        <v>0</v>
      </c>
      <c r="J242" s="2">
        <f t="shared" si="3"/>
        <v>350000</v>
      </c>
      <c r="K242">
        <f>_xlfn.RANK.EQ(Data!J242,Data!J242:J741,1)</f>
        <v>244</v>
      </c>
    </row>
    <row r="243" spans="1:11" x14ac:dyDescent="0.25">
      <c r="A243" s="2">
        <v>1243</v>
      </c>
      <c r="B243" s="3">
        <v>45899</v>
      </c>
      <c r="C243" s="2" t="s">
        <v>14</v>
      </c>
      <c r="D243" s="2" t="s">
        <v>15</v>
      </c>
      <c r="E243" s="2" t="s">
        <v>16</v>
      </c>
      <c r="F243" s="2" t="s">
        <v>17</v>
      </c>
      <c r="G243" s="2">
        <v>10</v>
      </c>
      <c r="H243" s="2">
        <v>500</v>
      </c>
      <c r="I243" s="2">
        <v>0.05</v>
      </c>
      <c r="J243" s="2">
        <f t="shared" si="3"/>
        <v>4750</v>
      </c>
      <c r="K243">
        <f>_xlfn.RANK.EQ(Data!J243,Data!J243:J742,1)</f>
        <v>98</v>
      </c>
    </row>
    <row r="244" spans="1:11" x14ac:dyDescent="0.25">
      <c r="A244" s="2">
        <v>1244</v>
      </c>
      <c r="B244" s="3">
        <v>45900</v>
      </c>
      <c r="C244" s="2" t="s">
        <v>18</v>
      </c>
      <c r="D244" s="2" t="s">
        <v>19</v>
      </c>
      <c r="E244" s="2" t="s">
        <v>20</v>
      </c>
      <c r="F244" s="2" t="s">
        <v>21</v>
      </c>
      <c r="G244" s="2">
        <v>13</v>
      </c>
      <c r="H244" s="2">
        <v>1500</v>
      </c>
      <c r="I244" s="2">
        <v>0.1</v>
      </c>
      <c r="J244" s="2">
        <f t="shared" si="3"/>
        <v>17550</v>
      </c>
      <c r="K244">
        <f>_xlfn.RANK.EQ(Data!J244,Data!J244:J743,1)</f>
        <v>133</v>
      </c>
    </row>
    <row r="245" spans="1:11" x14ac:dyDescent="0.25">
      <c r="A245" s="2">
        <v>1245</v>
      </c>
      <c r="B245" s="3">
        <v>45901</v>
      </c>
      <c r="C245" s="2" t="s">
        <v>22</v>
      </c>
      <c r="D245" s="2" t="s">
        <v>23</v>
      </c>
      <c r="E245" s="2" t="s">
        <v>12</v>
      </c>
      <c r="F245" s="2" t="s">
        <v>24</v>
      </c>
      <c r="G245" s="2">
        <v>16</v>
      </c>
      <c r="H245" s="2">
        <v>12000</v>
      </c>
      <c r="I245" s="2">
        <v>0.15</v>
      </c>
      <c r="J245" s="2">
        <f t="shared" si="3"/>
        <v>163200</v>
      </c>
      <c r="K245">
        <f>_xlfn.RANK.EQ(Data!J245,Data!J245:J744,1)</f>
        <v>233</v>
      </c>
    </row>
    <row r="246" spans="1:11" x14ac:dyDescent="0.25">
      <c r="A246" s="2">
        <v>1246</v>
      </c>
      <c r="B246" s="3">
        <v>45902</v>
      </c>
      <c r="C246" s="2" t="s">
        <v>10</v>
      </c>
      <c r="D246" s="2" t="s">
        <v>25</v>
      </c>
      <c r="E246" s="2" t="s">
        <v>16</v>
      </c>
      <c r="F246" s="2" t="s">
        <v>26</v>
      </c>
      <c r="G246" s="2">
        <v>19</v>
      </c>
      <c r="H246" s="2">
        <v>4000</v>
      </c>
      <c r="I246" s="2">
        <v>0</v>
      </c>
      <c r="J246" s="2">
        <f t="shared" si="3"/>
        <v>76000</v>
      </c>
      <c r="K246">
        <f>_xlfn.RANK.EQ(Data!J246,Data!J246:J745,1)</f>
        <v>181</v>
      </c>
    </row>
    <row r="247" spans="1:11" x14ac:dyDescent="0.25">
      <c r="A247" s="2">
        <v>1247</v>
      </c>
      <c r="B247" s="3">
        <v>45903</v>
      </c>
      <c r="C247" s="2" t="s">
        <v>14</v>
      </c>
      <c r="D247" s="2" t="s">
        <v>27</v>
      </c>
      <c r="E247" s="2" t="s">
        <v>20</v>
      </c>
      <c r="F247" s="2" t="s">
        <v>28</v>
      </c>
      <c r="G247" s="2">
        <v>2</v>
      </c>
      <c r="H247" s="2">
        <v>8000</v>
      </c>
      <c r="I247" s="2">
        <v>0.05</v>
      </c>
      <c r="J247" s="2">
        <f t="shared" si="3"/>
        <v>15200</v>
      </c>
      <c r="K247">
        <f>_xlfn.RANK.EQ(Data!J247,Data!J247:J746,1)</f>
        <v>128</v>
      </c>
    </row>
    <row r="248" spans="1:11" x14ac:dyDescent="0.25">
      <c r="A248" s="2">
        <v>1248</v>
      </c>
      <c r="B248" s="3">
        <v>45904</v>
      </c>
      <c r="C248" s="2" t="s">
        <v>18</v>
      </c>
      <c r="D248" s="2" t="s">
        <v>29</v>
      </c>
      <c r="E248" s="2" t="s">
        <v>12</v>
      </c>
      <c r="F248" s="2" t="s">
        <v>30</v>
      </c>
      <c r="G248" s="2">
        <v>5</v>
      </c>
      <c r="H248" s="2">
        <v>10000</v>
      </c>
      <c r="I248" s="2">
        <v>0.1</v>
      </c>
      <c r="J248" s="2">
        <f t="shared" si="3"/>
        <v>45000</v>
      </c>
      <c r="K248">
        <f>_xlfn.RANK.EQ(Data!J248,Data!J248:J747,1)</f>
        <v>162</v>
      </c>
    </row>
    <row r="249" spans="1:11" x14ac:dyDescent="0.25">
      <c r="A249" s="2">
        <v>1249</v>
      </c>
      <c r="B249" s="3">
        <v>45905</v>
      </c>
      <c r="C249" s="2" t="s">
        <v>22</v>
      </c>
      <c r="D249" s="2" t="s">
        <v>31</v>
      </c>
      <c r="E249" s="2" t="s">
        <v>16</v>
      </c>
      <c r="F249" s="2" t="s">
        <v>32</v>
      </c>
      <c r="G249" s="2">
        <v>8</v>
      </c>
      <c r="H249" s="2">
        <v>6000</v>
      </c>
      <c r="I249" s="2">
        <v>0.15</v>
      </c>
      <c r="J249" s="2">
        <f t="shared" si="3"/>
        <v>40800</v>
      </c>
      <c r="K249">
        <f>_xlfn.RANK.EQ(Data!J249,Data!J249:J748,1)</f>
        <v>149</v>
      </c>
    </row>
    <row r="250" spans="1:11" x14ac:dyDescent="0.25">
      <c r="A250" s="2">
        <v>1250</v>
      </c>
      <c r="B250" s="3">
        <v>45906</v>
      </c>
      <c r="C250" s="2" t="s">
        <v>10</v>
      </c>
      <c r="D250" s="2" t="s">
        <v>11</v>
      </c>
      <c r="E250" s="2" t="s">
        <v>20</v>
      </c>
      <c r="F250" s="2" t="s">
        <v>33</v>
      </c>
      <c r="G250" s="2">
        <v>11</v>
      </c>
      <c r="H250" s="2">
        <v>20</v>
      </c>
      <c r="I250" s="2">
        <v>0</v>
      </c>
      <c r="J250" s="2">
        <f t="shared" si="3"/>
        <v>220</v>
      </c>
      <c r="K250">
        <f>_xlfn.RANK.EQ(Data!J250,Data!J250:J749,1)</f>
        <v>25</v>
      </c>
    </row>
    <row r="251" spans="1:11" x14ac:dyDescent="0.25">
      <c r="A251" s="2">
        <v>1251</v>
      </c>
      <c r="B251" s="3">
        <v>45907</v>
      </c>
      <c r="C251" s="2" t="s">
        <v>14</v>
      </c>
      <c r="D251" s="2" t="s">
        <v>15</v>
      </c>
      <c r="E251" s="2" t="s">
        <v>12</v>
      </c>
      <c r="F251" s="2" t="s">
        <v>34</v>
      </c>
      <c r="G251" s="2">
        <v>14</v>
      </c>
      <c r="H251" s="2">
        <v>100</v>
      </c>
      <c r="I251" s="2">
        <v>0.05</v>
      </c>
      <c r="J251" s="2">
        <f t="shared" si="3"/>
        <v>1330</v>
      </c>
      <c r="K251">
        <f>_xlfn.RANK.EQ(Data!J251,Data!J251:J750,1)</f>
        <v>79</v>
      </c>
    </row>
    <row r="252" spans="1:11" x14ac:dyDescent="0.25">
      <c r="A252" s="2">
        <v>1252</v>
      </c>
      <c r="B252" s="3">
        <v>45908</v>
      </c>
      <c r="C252" s="2" t="s">
        <v>18</v>
      </c>
      <c r="D252" s="2" t="s">
        <v>19</v>
      </c>
      <c r="E252" s="2" t="s">
        <v>16</v>
      </c>
      <c r="F252" s="2" t="s">
        <v>35</v>
      </c>
      <c r="G252" s="2">
        <v>17</v>
      </c>
      <c r="H252" s="2">
        <v>50</v>
      </c>
      <c r="I252" s="2">
        <v>0.1</v>
      </c>
      <c r="J252" s="2">
        <f t="shared" si="3"/>
        <v>765</v>
      </c>
      <c r="K252">
        <f>_xlfn.RANK.EQ(Data!J252,Data!J252:J751,1)</f>
        <v>66</v>
      </c>
    </row>
    <row r="253" spans="1:11" x14ac:dyDescent="0.25">
      <c r="A253" s="2">
        <v>1253</v>
      </c>
      <c r="B253" s="3">
        <v>45909</v>
      </c>
      <c r="C253" s="2" t="s">
        <v>22</v>
      </c>
      <c r="D253" s="2" t="s">
        <v>23</v>
      </c>
      <c r="E253" s="2" t="s">
        <v>20</v>
      </c>
      <c r="F253" s="2" t="s">
        <v>36</v>
      </c>
      <c r="G253" s="2">
        <v>20</v>
      </c>
      <c r="H253" s="2">
        <v>30</v>
      </c>
      <c r="I253" s="2">
        <v>0.15</v>
      </c>
      <c r="J253" s="2">
        <f t="shared" si="3"/>
        <v>510</v>
      </c>
      <c r="K253">
        <f>_xlfn.RANK.EQ(Data!J253,Data!J253:J752,1)</f>
        <v>53</v>
      </c>
    </row>
    <row r="254" spans="1:11" x14ac:dyDescent="0.25">
      <c r="A254" s="2">
        <v>1254</v>
      </c>
      <c r="B254" s="3">
        <v>45910</v>
      </c>
      <c r="C254" s="2" t="s">
        <v>10</v>
      </c>
      <c r="D254" s="2" t="s">
        <v>25</v>
      </c>
      <c r="E254" s="2" t="s">
        <v>12</v>
      </c>
      <c r="F254" s="2" t="s">
        <v>13</v>
      </c>
      <c r="G254" s="2">
        <v>3</v>
      </c>
      <c r="H254" s="2">
        <v>50000</v>
      </c>
      <c r="I254" s="2">
        <v>0</v>
      </c>
      <c r="J254" s="2">
        <f t="shared" si="3"/>
        <v>150000</v>
      </c>
      <c r="K254">
        <f>_xlfn.RANK.EQ(Data!J254,Data!J254:J753,1)</f>
        <v>216</v>
      </c>
    </row>
    <row r="255" spans="1:11" x14ac:dyDescent="0.25">
      <c r="A255" s="2">
        <v>1255</v>
      </c>
      <c r="B255" s="3">
        <v>45911</v>
      </c>
      <c r="C255" s="2" t="s">
        <v>14</v>
      </c>
      <c r="D255" s="2" t="s">
        <v>27</v>
      </c>
      <c r="E255" s="2" t="s">
        <v>16</v>
      </c>
      <c r="F255" s="2" t="s">
        <v>17</v>
      </c>
      <c r="G255" s="2">
        <v>6</v>
      </c>
      <c r="H255" s="2">
        <v>500</v>
      </c>
      <c r="I255" s="2">
        <v>0.05</v>
      </c>
      <c r="J255" s="2">
        <f t="shared" si="3"/>
        <v>2850</v>
      </c>
      <c r="K255">
        <f>_xlfn.RANK.EQ(Data!J255,Data!J255:J754,1)</f>
        <v>89</v>
      </c>
    </row>
    <row r="256" spans="1:11" x14ac:dyDescent="0.25">
      <c r="A256" s="2">
        <v>1256</v>
      </c>
      <c r="B256" s="3">
        <v>45912</v>
      </c>
      <c r="C256" s="2" t="s">
        <v>18</v>
      </c>
      <c r="D256" s="2" t="s">
        <v>29</v>
      </c>
      <c r="E256" s="2" t="s">
        <v>20</v>
      </c>
      <c r="F256" s="2" t="s">
        <v>21</v>
      </c>
      <c r="G256" s="2">
        <v>9</v>
      </c>
      <c r="H256" s="2">
        <v>1500</v>
      </c>
      <c r="I256" s="2">
        <v>0.1</v>
      </c>
      <c r="J256" s="2">
        <f t="shared" si="3"/>
        <v>12150</v>
      </c>
      <c r="K256">
        <f>_xlfn.RANK.EQ(Data!J256,Data!J256:J755,1)</f>
        <v>118</v>
      </c>
    </row>
    <row r="257" spans="1:11" x14ac:dyDescent="0.25">
      <c r="A257" s="2">
        <v>1257</v>
      </c>
      <c r="B257" s="3">
        <v>45913</v>
      </c>
      <c r="C257" s="2" t="s">
        <v>22</v>
      </c>
      <c r="D257" s="2" t="s">
        <v>31</v>
      </c>
      <c r="E257" s="2" t="s">
        <v>12</v>
      </c>
      <c r="F257" s="2" t="s">
        <v>24</v>
      </c>
      <c r="G257" s="2">
        <v>12</v>
      </c>
      <c r="H257" s="2">
        <v>12000</v>
      </c>
      <c r="I257" s="2">
        <v>0.15</v>
      </c>
      <c r="J257" s="2">
        <f t="shared" si="3"/>
        <v>122400</v>
      </c>
      <c r="K257">
        <f>_xlfn.RANK.EQ(Data!J257,Data!J257:J756,1)</f>
        <v>204</v>
      </c>
    </row>
    <row r="258" spans="1:11" x14ac:dyDescent="0.25">
      <c r="A258" s="2">
        <v>1258</v>
      </c>
      <c r="B258" s="3">
        <v>45914</v>
      </c>
      <c r="C258" s="2" t="s">
        <v>10</v>
      </c>
      <c r="D258" s="2" t="s">
        <v>11</v>
      </c>
      <c r="E258" s="2" t="s">
        <v>16</v>
      </c>
      <c r="F258" s="2" t="s">
        <v>26</v>
      </c>
      <c r="G258" s="2">
        <v>15</v>
      </c>
      <c r="H258" s="2">
        <v>4000</v>
      </c>
      <c r="I258" s="2">
        <v>0</v>
      </c>
      <c r="J258" s="2">
        <f t="shared" ref="J258:J321" si="4">G258*H258*(1-I258)</f>
        <v>60000</v>
      </c>
      <c r="K258">
        <f>_xlfn.RANK.EQ(Data!J258,Data!J258:J757,1)</f>
        <v>163</v>
      </c>
    </row>
    <row r="259" spans="1:11" x14ac:dyDescent="0.25">
      <c r="A259" s="2">
        <v>1259</v>
      </c>
      <c r="B259" s="3">
        <v>45915</v>
      </c>
      <c r="C259" s="2" t="s">
        <v>14</v>
      </c>
      <c r="D259" s="2" t="s">
        <v>15</v>
      </c>
      <c r="E259" s="2" t="s">
        <v>20</v>
      </c>
      <c r="F259" s="2" t="s">
        <v>28</v>
      </c>
      <c r="G259" s="2">
        <v>18</v>
      </c>
      <c r="H259" s="2">
        <v>8000</v>
      </c>
      <c r="I259" s="2">
        <v>0.05</v>
      </c>
      <c r="J259" s="2">
        <f t="shared" si="4"/>
        <v>136800</v>
      </c>
      <c r="K259">
        <f>_xlfn.RANK.EQ(Data!J259,Data!J259:J758,1)</f>
        <v>207</v>
      </c>
    </row>
    <row r="260" spans="1:11" x14ac:dyDescent="0.25">
      <c r="A260" s="2">
        <v>1260</v>
      </c>
      <c r="B260" s="3">
        <v>45916</v>
      </c>
      <c r="C260" s="2" t="s">
        <v>18</v>
      </c>
      <c r="D260" s="2" t="s">
        <v>19</v>
      </c>
      <c r="E260" s="2" t="s">
        <v>12</v>
      </c>
      <c r="F260" s="2" t="s">
        <v>30</v>
      </c>
      <c r="G260" s="2">
        <v>1</v>
      </c>
      <c r="H260" s="2">
        <v>10000</v>
      </c>
      <c r="I260" s="2">
        <v>0.1</v>
      </c>
      <c r="J260" s="2">
        <f t="shared" si="4"/>
        <v>9000</v>
      </c>
      <c r="K260">
        <f>_xlfn.RANK.EQ(Data!J260,Data!J260:J759,1)</f>
        <v>109</v>
      </c>
    </row>
    <row r="261" spans="1:11" x14ac:dyDescent="0.25">
      <c r="A261" s="2">
        <v>1261</v>
      </c>
      <c r="B261" s="3">
        <v>45917</v>
      </c>
      <c r="C261" s="2" t="s">
        <v>22</v>
      </c>
      <c r="D261" s="2" t="s">
        <v>23</v>
      </c>
      <c r="E261" s="2" t="s">
        <v>16</v>
      </c>
      <c r="F261" s="2" t="s">
        <v>32</v>
      </c>
      <c r="G261" s="2">
        <v>4</v>
      </c>
      <c r="H261" s="2">
        <v>6000</v>
      </c>
      <c r="I261" s="2">
        <v>0.15</v>
      </c>
      <c r="J261" s="2">
        <f t="shared" si="4"/>
        <v>20400</v>
      </c>
      <c r="K261">
        <f>_xlfn.RANK.EQ(Data!J261,Data!J261:J760,1)</f>
        <v>129</v>
      </c>
    </row>
    <row r="262" spans="1:11" x14ac:dyDescent="0.25">
      <c r="A262" s="2">
        <v>1262</v>
      </c>
      <c r="B262" s="3">
        <v>45918</v>
      </c>
      <c r="C262" s="2" t="s">
        <v>10</v>
      </c>
      <c r="D262" s="2" t="s">
        <v>25</v>
      </c>
      <c r="E262" s="2" t="s">
        <v>20</v>
      </c>
      <c r="F262" s="2" t="s">
        <v>33</v>
      </c>
      <c r="G262" s="2">
        <v>7</v>
      </c>
      <c r="H262" s="2">
        <v>20</v>
      </c>
      <c r="I262" s="2">
        <v>0</v>
      </c>
      <c r="J262" s="2">
        <f t="shared" si="4"/>
        <v>140</v>
      </c>
      <c r="K262">
        <f>_xlfn.RANK.EQ(Data!J262,Data!J262:J761,1)</f>
        <v>13</v>
      </c>
    </row>
    <row r="263" spans="1:11" x14ac:dyDescent="0.25">
      <c r="A263" s="2">
        <v>1263</v>
      </c>
      <c r="B263" s="3">
        <v>45919</v>
      </c>
      <c r="C263" s="2" t="s">
        <v>14</v>
      </c>
      <c r="D263" s="2" t="s">
        <v>27</v>
      </c>
      <c r="E263" s="2" t="s">
        <v>12</v>
      </c>
      <c r="F263" s="2" t="s">
        <v>34</v>
      </c>
      <c r="G263" s="2">
        <v>10</v>
      </c>
      <c r="H263" s="2">
        <v>100</v>
      </c>
      <c r="I263" s="2">
        <v>0.05</v>
      </c>
      <c r="J263" s="2">
        <f t="shared" si="4"/>
        <v>950</v>
      </c>
      <c r="K263">
        <f>_xlfn.RANK.EQ(Data!J263,Data!J263:J762,1)</f>
        <v>68</v>
      </c>
    </row>
    <row r="264" spans="1:11" x14ac:dyDescent="0.25">
      <c r="A264" s="2">
        <v>1264</v>
      </c>
      <c r="B264" s="3">
        <v>45920</v>
      </c>
      <c r="C264" s="2" t="s">
        <v>18</v>
      </c>
      <c r="D264" s="2" t="s">
        <v>29</v>
      </c>
      <c r="E264" s="2" t="s">
        <v>16</v>
      </c>
      <c r="F264" s="2" t="s">
        <v>35</v>
      </c>
      <c r="G264" s="2">
        <v>13</v>
      </c>
      <c r="H264" s="2">
        <v>50</v>
      </c>
      <c r="I264" s="2">
        <v>0.1</v>
      </c>
      <c r="J264" s="2">
        <f t="shared" si="4"/>
        <v>585</v>
      </c>
      <c r="K264">
        <f>_xlfn.RANK.EQ(Data!J264,Data!J264:J763,1)</f>
        <v>60</v>
      </c>
    </row>
    <row r="265" spans="1:11" x14ac:dyDescent="0.25">
      <c r="A265" s="2">
        <v>1265</v>
      </c>
      <c r="B265" s="3">
        <v>45921</v>
      </c>
      <c r="C265" s="2" t="s">
        <v>22</v>
      </c>
      <c r="D265" s="2" t="s">
        <v>31</v>
      </c>
      <c r="E265" s="2" t="s">
        <v>20</v>
      </c>
      <c r="F265" s="2" t="s">
        <v>36</v>
      </c>
      <c r="G265" s="2">
        <v>16</v>
      </c>
      <c r="H265" s="2">
        <v>30</v>
      </c>
      <c r="I265" s="2">
        <v>0.15</v>
      </c>
      <c r="J265" s="2">
        <f t="shared" si="4"/>
        <v>408</v>
      </c>
      <c r="K265">
        <f>_xlfn.RANK.EQ(Data!J265,Data!J265:J764,1)</f>
        <v>48</v>
      </c>
    </row>
    <row r="266" spans="1:11" x14ac:dyDescent="0.25">
      <c r="A266" s="2">
        <v>1266</v>
      </c>
      <c r="B266" s="3">
        <v>45922</v>
      </c>
      <c r="C266" s="2" t="s">
        <v>10</v>
      </c>
      <c r="D266" s="2" t="s">
        <v>11</v>
      </c>
      <c r="E266" s="2" t="s">
        <v>12</v>
      </c>
      <c r="F266" s="2" t="s">
        <v>13</v>
      </c>
      <c r="G266" s="2">
        <v>19</v>
      </c>
      <c r="H266" s="2">
        <v>50000</v>
      </c>
      <c r="I266" s="2">
        <v>0</v>
      </c>
      <c r="J266" s="2">
        <f t="shared" si="4"/>
        <v>950000</v>
      </c>
      <c r="K266">
        <f>_xlfn.RANK.EQ(Data!J266,Data!J266:J765,1)</f>
        <v>233</v>
      </c>
    </row>
    <row r="267" spans="1:11" x14ac:dyDescent="0.25">
      <c r="A267" s="2">
        <v>1267</v>
      </c>
      <c r="B267" s="3">
        <v>45923</v>
      </c>
      <c r="C267" s="2" t="s">
        <v>14</v>
      </c>
      <c r="D267" s="2" t="s">
        <v>15</v>
      </c>
      <c r="E267" s="2" t="s">
        <v>16</v>
      </c>
      <c r="F267" s="2" t="s">
        <v>17</v>
      </c>
      <c r="G267" s="2">
        <v>2</v>
      </c>
      <c r="H267" s="2">
        <v>500</v>
      </c>
      <c r="I267" s="2">
        <v>0.05</v>
      </c>
      <c r="J267" s="2">
        <f t="shared" si="4"/>
        <v>950</v>
      </c>
      <c r="K267">
        <f>_xlfn.RANK.EQ(Data!J267,Data!J267:J766,1)</f>
        <v>66</v>
      </c>
    </row>
    <row r="268" spans="1:11" x14ac:dyDescent="0.25">
      <c r="A268" s="2">
        <v>1268</v>
      </c>
      <c r="B268" s="3">
        <v>45924</v>
      </c>
      <c r="C268" s="2" t="s">
        <v>18</v>
      </c>
      <c r="D268" s="2" t="s">
        <v>19</v>
      </c>
      <c r="E268" s="2" t="s">
        <v>20</v>
      </c>
      <c r="F268" s="2" t="s">
        <v>21</v>
      </c>
      <c r="G268" s="2">
        <v>5</v>
      </c>
      <c r="H268" s="2">
        <v>1500</v>
      </c>
      <c r="I268" s="2">
        <v>0.1</v>
      </c>
      <c r="J268" s="2">
        <f t="shared" si="4"/>
        <v>6750</v>
      </c>
      <c r="K268">
        <f>_xlfn.RANK.EQ(Data!J268,Data!J268:J767,1)</f>
        <v>96</v>
      </c>
    </row>
    <row r="269" spans="1:11" x14ac:dyDescent="0.25">
      <c r="A269" s="2">
        <v>1269</v>
      </c>
      <c r="B269" s="3">
        <v>45925</v>
      </c>
      <c r="C269" s="2" t="s">
        <v>22</v>
      </c>
      <c r="D269" s="2" t="s">
        <v>23</v>
      </c>
      <c r="E269" s="2" t="s">
        <v>12</v>
      </c>
      <c r="F269" s="2" t="s">
        <v>24</v>
      </c>
      <c r="G269" s="2">
        <v>8</v>
      </c>
      <c r="H269" s="2">
        <v>12000</v>
      </c>
      <c r="I269" s="2">
        <v>0.15</v>
      </c>
      <c r="J269" s="2">
        <f t="shared" si="4"/>
        <v>81600</v>
      </c>
      <c r="K269">
        <f>_xlfn.RANK.EQ(Data!J269,Data!J269:J768,1)</f>
        <v>175</v>
      </c>
    </row>
    <row r="270" spans="1:11" x14ac:dyDescent="0.25">
      <c r="A270" s="2">
        <v>1270</v>
      </c>
      <c r="B270" s="3">
        <v>45926</v>
      </c>
      <c r="C270" s="2" t="s">
        <v>10</v>
      </c>
      <c r="D270" s="2" t="s">
        <v>25</v>
      </c>
      <c r="E270" s="2" t="s">
        <v>16</v>
      </c>
      <c r="F270" s="2" t="s">
        <v>26</v>
      </c>
      <c r="G270" s="2">
        <v>11</v>
      </c>
      <c r="H270" s="2">
        <v>4000</v>
      </c>
      <c r="I270" s="2">
        <v>0</v>
      </c>
      <c r="J270" s="2">
        <f t="shared" si="4"/>
        <v>44000</v>
      </c>
      <c r="K270">
        <f>_xlfn.RANK.EQ(Data!J270,Data!J270:J769,1)</f>
        <v>143</v>
      </c>
    </row>
    <row r="271" spans="1:11" x14ac:dyDescent="0.25">
      <c r="A271" s="2">
        <v>1271</v>
      </c>
      <c r="B271" s="3">
        <v>45927</v>
      </c>
      <c r="C271" s="2" t="s">
        <v>14</v>
      </c>
      <c r="D271" s="2" t="s">
        <v>27</v>
      </c>
      <c r="E271" s="2" t="s">
        <v>20</v>
      </c>
      <c r="F271" s="2" t="s">
        <v>28</v>
      </c>
      <c r="G271" s="2">
        <v>14</v>
      </c>
      <c r="H271" s="2">
        <v>8000</v>
      </c>
      <c r="I271" s="2">
        <v>0.05</v>
      </c>
      <c r="J271" s="2">
        <f t="shared" si="4"/>
        <v>106400</v>
      </c>
      <c r="K271">
        <f>_xlfn.RANK.EQ(Data!J271,Data!J271:J770,1)</f>
        <v>185</v>
      </c>
    </row>
    <row r="272" spans="1:11" x14ac:dyDescent="0.25">
      <c r="A272" s="2">
        <v>1272</v>
      </c>
      <c r="B272" s="3">
        <v>45928</v>
      </c>
      <c r="C272" s="2" t="s">
        <v>18</v>
      </c>
      <c r="D272" s="2" t="s">
        <v>29</v>
      </c>
      <c r="E272" s="2" t="s">
        <v>12</v>
      </c>
      <c r="F272" s="2" t="s">
        <v>30</v>
      </c>
      <c r="G272" s="2">
        <v>17</v>
      </c>
      <c r="H272" s="2">
        <v>10000</v>
      </c>
      <c r="I272" s="2">
        <v>0.1</v>
      </c>
      <c r="J272" s="2">
        <f t="shared" si="4"/>
        <v>153000</v>
      </c>
      <c r="K272">
        <f>_xlfn.RANK.EQ(Data!J272,Data!J272:J771,1)</f>
        <v>204</v>
      </c>
    </row>
    <row r="273" spans="1:11" x14ac:dyDescent="0.25">
      <c r="A273" s="2">
        <v>1273</v>
      </c>
      <c r="B273" s="3">
        <v>45929</v>
      </c>
      <c r="C273" s="2" t="s">
        <v>22</v>
      </c>
      <c r="D273" s="2" t="s">
        <v>31</v>
      </c>
      <c r="E273" s="2" t="s">
        <v>16</v>
      </c>
      <c r="F273" s="2" t="s">
        <v>32</v>
      </c>
      <c r="G273" s="2">
        <v>20</v>
      </c>
      <c r="H273" s="2">
        <v>6000</v>
      </c>
      <c r="I273" s="2">
        <v>0.15</v>
      </c>
      <c r="J273" s="2">
        <f t="shared" si="4"/>
        <v>102000</v>
      </c>
      <c r="K273">
        <f>_xlfn.RANK.EQ(Data!J273,Data!J273:J772,1)</f>
        <v>181</v>
      </c>
    </row>
    <row r="274" spans="1:11" x14ac:dyDescent="0.25">
      <c r="A274" s="2">
        <v>1274</v>
      </c>
      <c r="B274" s="3">
        <v>45930</v>
      </c>
      <c r="C274" s="2" t="s">
        <v>10</v>
      </c>
      <c r="D274" s="2" t="s">
        <v>11</v>
      </c>
      <c r="E274" s="2" t="s">
        <v>20</v>
      </c>
      <c r="F274" s="2" t="s">
        <v>33</v>
      </c>
      <c r="G274" s="2">
        <v>3</v>
      </c>
      <c r="H274" s="2">
        <v>20</v>
      </c>
      <c r="I274" s="2">
        <v>0</v>
      </c>
      <c r="J274" s="2">
        <f t="shared" si="4"/>
        <v>60</v>
      </c>
      <c r="K274">
        <f>_xlfn.RANK.EQ(Data!J274,Data!J274:J773,1)</f>
        <v>5</v>
      </c>
    </row>
    <row r="275" spans="1:11" x14ac:dyDescent="0.25">
      <c r="A275" s="2">
        <v>1275</v>
      </c>
      <c r="B275" s="3">
        <v>45931</v>
      </c>
      <c r="C275" s="2" t="s">
        <v>14</v>
      </c>
      <c r="D275" s="2" t="s">
        <v>15</v>
      </c>
      <c r="E275" s="2" t="s">
        <v>12</v>
      </c>
      <c r="F275" s="2" t="s">
        <v>34</v>
      </c>
      <c r="G275" s="2">
        <v>6</v>
      </c>
      <c r="H275" s="2">
        <v>100</v>
      </c>
      <c r="I275" s="2">
        <v>0.05</v>
      </c>
      <c r="J275" s="2">
        <f t="shared" si="4"/>
        <v>570</v>
      </c>
      <c r="K275">
        <f>_xlfn.RANK.EQ(Data!J275,Data!J275:J774,1)</f>
        <v>54</v>
      </c>
    </row>
    <row r="276" spans="1:11" x14ac:dyDescent="0.25">
      <c r="A276" s="2">
        <v>1276</v>
      </c>
      <c r="B276" s="3">
        <v>45932</v>
      </c>
      <c r="C276" s="2" t="s">
        <v>18</v>
      </c>
      <c r="D276" s="2" t="s">
        <v>19</v>
      </c>
      <c r="E276" s="2" t="s">
        <v>16</v>
      </c>
      <c r="F276" s="2" t="s">
        <v>35</v>
      </c>
      <c r="G276" s="2">
        <v>9</v>
      </c>
      <c r="H276" s="2">
        <v>50</v>
      </c>
      <c r="I276" s="2">
        <v>0.1</v>
      </c>
      <c r="J276" s="2">
        <f t="shared" si="4"/>
        <v>405</v>
      </c>
      <c r="K276">
        <f>_xlfn.RANK.EQ(Data!J276,Data!J276:J775,1)</f>
        <v>43</v>
      </c>
    </row>
    <row r="277" spans="1:11" x14ac:dyDescent="0.25">
      <c r="A277" s="2">
        <v>1277</v>
      </c>
      <c r="B277" s="3">
        <v>45933</v>
      </c>
      <c r="C277" s="2" t="s">
        <v>22</v>
      </c>
      <c r="D277" s="2" t="s">
        <v>23</v>
      </c>
      <c r="E277" s="2" t="s">
        <v>20</v>
      </c>
      <c r="F277" s="2" t="s">
        <v>36</v>
      </c>
      <c r="G277" s="2">
        <v>12</v>
      </c>
      <c r="H277" s="2">
        <v>30</v>
      </c>
      <c r="I277" s="2">
        <v>0.15</v>
      </c>
      <c r="J277" s="2">
        <f t="shared" si="4"/>
        <v>306</v>
      </c>
      <c r="K277">
        <f>_xlfn.RANK.EQ(Data!J277,Data!J277:J776,1)</f>
        <v>35</v>
      </c>
    </row>
    <row r="278" spans="1:11" x14ac:dyDescent="0.25">
      <c r="A278" s="2">
        <v>1278</v>
      </c>
      <c r="B278" s="3">
        <v>45934</v>
      </c>
      <c r="C278" s="2" t="s">
        <v>10</v>
      </c>
      <c r="D278" s="2" t="s">
        <v>25</v>
      </c>
      <c r="E278" s="2" t="s">
        <v>12</v>
      </c>
      <c r="F278" s="2" t="s">
        <v>13</v>
      </c>
      <c r="G278" s="2">
        <v>15</v>
      </c>
      <c r="H278" s="2">
        <v>50000</v>
      </c>
      <c r="I278" s="2">
        <v>0</v>
      </c>
      <c r="J278" s="2">
        <f t="shared" si="4"/>
        <v>750000</v>
      </c>
      <c r="K278">
        <f>_xlfn.RANK.EQ(Data!J278,Data!J278:J777,1)</f>
        <v>218</v>
      </c>
    </row>
    <row r="279" spans="1:11" x14ac:dyDescent="0.25">
      <c r="A279" s="2">
        <v>1279</v>
      </c>
      <c r="B279" s="3">
        <v>45935</v>
      </c>
      <c r="C279" s="2" t="s">
        <v>14</v>
      </c>
      <c r="D279" s="2" t="s">
        <v>27</v>
      </c>
      <c r="E279" s="2" t="s">
        <v>16</v>
      </c>
      <c r="F279" s="2" t="s">
        <v>17</v>
      </c>
      <c r="G279" s="2">
        <v>18</v>
      </c>
      <c r="H279" s="2">
        <v>500</v>
      </c>
      <c r="I279" s="2">
        <v>0.05</v>
      </c>
      <c r="J279" s="2">
        <f t="shared" si="4"/>
        <v>8550</v>
      </c>
      <c r="K279">
        <f>_xlfn.RANK.EQ(Data!J279,Data!J279:J778,1)</f>
        <v>95</v>
      </c>
    </row>
    <row r="280" spans="1:11" x14ac:dyDescent="0.25">
      <c r="A280" s="2">
        <v>1280</v>
      </c>
      <c r="B280" s="3">
        <v>45936</v>
      </c>
      <c r="C280" s="2" t="s">
        <v>18</v>
      </c>
      <c r="D280" s="2" t="s">
        <v>29</v>
      </c>
      <c r="E280" s="2" t="s">
        <v>20</v>
      </c>
      <c r="F280" s="2" t="s">
        <v>21</v>
      </c>
      <c r="G280" s="2">
        <v>1</v>
      </c>
      <c r="H280" s="2">
        <v>1500</v>
      </c>
      <c r="I280" s="2">
        <v>0.1</v>
      </c>
      <c r="J280" s="2">
        <f t="shared" si="4"/>
        <v>1350</v>
      </c>
      <c r="K280">
        <f>_xlfn.RANK.EQ(Data!J280,Data!J280:J779,1)</f>
        <v>72</v>
      </c>
    </row>
    <row r="281" spans="1:11" x14ac:dyDescent="0.25">
      <c r="A281" s="2">
        <v>1281</v>
      </c>
      <c r="B281" s="3">
        <v>45937</v>
      </c>
      <c r="C281" s="2" t="s">
        <v>22</v>
      </c>
      <c r="D281" s="2" t="s">
        <v>31</v>
      </c>
      <c r="E281" s="2" t="s">
        <v>12</v>
      </c>
      <c r="F281" s="2" t="s">
        <v>24</v>
      </c>
      <c r="G281" s="2">
        <v>4</v>
      </c>
      <c r="H281" s="2">
        <v>12000</v>
      </c>
      <c r="I281" s="2">
        <v>0.15</v>
      </c>
      <c r="J281" s="2">
        <f t="shared" si="4"/>
        <v>40800</v>
      </c>
      <c r="K281">
        <f>_xlfn.RANK.EQ(Data!J281,Data!J281:J780,1)</f>
        <v>129</v>
      </c>
    </row>
    <row r="282" spans="1:11" x14ac:dyDescent="0.25">
      <c r="A282" s="2">
        <v>1282</v>
      </c>
      <c r="B282" s="3">
        <v>45938</v>
      </c>
      <c r="C282" s="2" t="s">
        <v>10</v>
      </c>
      <c r="D282" s="2" t="s">
        <v>11</v>
      </c>
      <c r="E282" s="2" t="s">
        <v>16</v>
      </c>
      <c r="F282" s="2" t="s">
        <v>26</v>
      </c>
      <c r="G282" s="2">
        <v>7</v>
      </c>
      <c r="H282" s="2">
        <v>4000</v>
      </c>
      <c r="I282" s="2">
        <v>0</v>
      </c>
      <c r="J282" s="2">
        <f t="shared" si="4"/>
        <v>28000</v>
      </c>
      <c r="K282">
        <f>_xlfn.RANK.EQ(Data!J282,Data!J282:J781,1)</f>
        <v>125</v>
      </c>
    </row>
    <row r="283" spans="1:11" x14ac:dyDescent="0.25">
      <c r="A283" s="2">
        <v>1283</v>
      </c>
      <c r="B283" s="3">
        <v>45939</v>
      </c>
      <c r="C283" s="2" t="s">
        <v>14</v>
      </c>
      <c r="D283" s="2" t="s">
        <v>15</v>
      </c>
      <c r="E283" s="2" t="s">
        <v>20</v>
      </c>
      <c r="F283" s="2" t="s">
        <v>28</v>
      </c>
      <c r="G283" s="2">
        <v>10</v>
      </c>
      <c r="H283" s="2">
        <v>8000</v>
      </c>
      <c r="I283" s="2">
        <v>0.05</v>
      </c>
      <c r="J283" s="2">
        <f t="shared" si="4"/>
        <v>76000</v>
      </c>
      <c r="K283">
        <f>_xlfn.RANK.EQ(Data!J283,Data!J283:J782,1)</f>
        <v>154</v>
      </c>
    </row>
    <row r="284" spans="1:11" x14ac:dyDescent="0.25">
      <c r="A284" s="2">
        <v>1284</v>
      </c>
      <c r="B284" s="3">
        <v>45940</v>
      </c>
      <c r="C284" s="2" t="s">
        <v>18</v>
      </c>
      <c r="D284" s="2" t="s">
        <v>19</v>
      </c>
      <c r="E284" s="2" t="s">
        <v>12</v>
      </c>
      <c r="F284" s="2" t="s">
        <v>30</v>
      </c>
      <c r="G284" s="2">
        <v>13</v>
      </c>
      <c r="H284" s="2">
        <v>10000</v>
      </c>
      <c r="I284" s="2">
        <v>0.1</v>
      </c>
      <c r="J284" s="2">
        <f t="shared" si="4"/>
        <v>117000</v>
      </c>
      <c r="K284">
        <f>_xlfn.RANK.EQ(Data!J284,Data!J284:J783,1)</f>
        <v>178</v>
      </c>
    </row>
    <row r="285" spans="1:11" x14ac:dyDescent="0.25">
      <c r="A285" s="2">
        <v>1285</v>
      </c>
      <c r="B285" s="3">
        <v>45941</v>
      </c>
      <c r="C285" s="2" t="s">
        <v>22</v>
      </c>
      <c r="D285" s="2" t="s">
        <v>23</v>
      </c>
      <c r="E285" s="2" t="s">
        <v>16</v>
      </c>
      <c r="F285" s="2" t="s">
        <v>32</v>
      </c>
      <c r="G285" s="2">
        <v>16</v>
      </c>
      <c r="H285" s="2">
        <v>6000</v>
      </c>
      <c r="I285" s="2">
        <v>0.15</v>
      </c>
      <c r="J285" s="2">
        <f t="shared" si="4"/>
        <v>81600</v>
      </c>
      <c r="K285">
        <f>_xlfn.RANK.EQ(Data!J285,Data!J285:J784,1)</f>
        <v>165</v>
      </c>
    </row>
    <row r="286" spans="1:11" x14ac:dyDescent="0.25">
      <c r="A286" s="2">
        <v>1286</v>
      </c>
      <c r="B286" s="3">
        <v>45942</v>
      </c>
      <c r="C286" s="2" t="s">
        <v>10</v>
      </c>
      <c r="D286" s="2" t="s">
        <v>25</v>
      </c>
      <c r="E286" s="2" t="s">
        <v>20</v>
      </c>
      <c r="F286" s="2" t="s">
        <v>33</v>
      </c>
      <c r="G286" s="2">
        <v>19</v>
      </c>
      <c r="H286" s="2">
        <v>20</v>
      </c>
      <c r="I286" s="2">
        <v>0</v>
      </c>
      <c r="J286" s="2">
        <f t="shared" si="4"/>
        <v>380</v>
      </c>
      <c r="K286">
        <f>_xlfn.RANK.EQ(Data!J286,Data!J286:J785,1)</f>
        <v>38</v>
      </c>
    </row>
    <row r="287" spans="1:11" x14ac:dyDescent="0.25">
      <c r="A287" s="2">
        <v>1287</v>
      </c>
      <c r="B287" s="3">
        <v>45943</v>
      </c>
      <c r="C287" s="2" t="s">
        <v>14</v>
      </c>
      <c r="D287" s="2" t="s">
        <v>27</v>
      </c>
      <c r="E287" s="2" t="s">
        <v>12</v>
      </c>
      <c r="F287" s="2" t="s">
        <v>34</v>
      </c>
      <c r="G287" s="2">
        <v>2</v>
      </c>
      <c r="H287" s="2">
        <v>100</v>
      </c>
      <c r="I287" s="2">
        <v>0.05</v>
      </c>
      <c r="J287" s="2">
        <f t="shared" si="4"/>
        <v>190</v>
      </c>
      <c r="K287">
        <f>_xlfn.RANK.EQ(Data!J287,Data!J287:J786,1)</f>
        <v>15</v>
      </c>
    </row>
    <row r="288" spans="1:11" x14ac:dyDescent="0.25">
      <c r="A288" s="2">
        <v>1288</v>
      </c>
      <c r="B288" s="3">
        <v>45944</v>
      </c>
      <c r="C288" s="2" t="s">
        <v>18</v>
      </c>
      <c r="D288" s="2" t="s">
        <v>29</v>
      </c>
      <c r="E288" s="2" t="s">
        <v>16</v>
      </c>
      <c r="F288" s="2" t="s">
        <v>35</v>
      </c>
      <c r="G288" s="2">
        <v>5</v>
      </c>
      <c r="H288" s="2">
        <v>50</v>
      </c>
      <c r="I288" s="2">
        <v>0.1</v>
      </c>
      <c r="J288" s="2">
        <f t="shared" si="4"/>
        <v>225</v>
      </c>
      <c r="K288">
        <f>_xlfn.RANK.EQ(Data!J288,Data!J288:J787,1)</f>
        <v>26</v>
      </c>
    </row>
    <row r="289" spans="1:11" x14ac:dyDescent="0.25">
      <c r="A289" s="2">
        <v>1289</v>
      </c>
      <c r="B289" s="3">
        <v>45945</v>
      </c>
      <c r="C289" s="2" t="s">
        <v>22</v>
      </c>
      <c r="D289" s="2" t="s">
        <v>31</v>
      </c>
      <c r="E289" s="2" t="s">
        <v>20</v>
      </c>
      <c r="F289" s="2" t="s">
        <v>36</v>
      </c>
      <c r="G289" s="2">
        <v>8</v>
      </c>
      <c r="H289" s="2">
        <v>30</v>
      </c>
      <c r="I289" s="2">
        <v>0.15</v>
      </c>
      <c r="J289" s="2">
        <f t="shared" si="4"/>
        <v>204</v>
      </c>
      <c r="K289">
        <f>_xlfn.RANK.EQ(Data!J289,Data!J289:J788,1)</f>
        <v>18</v>
      </c>
    </row>
    <row r="290" spans="1:11" x14ac:dyDescent="0.25">
      <c r="A290" s="2">
        <v>1290</v>
      </c>
      <c r="B290" s="3">
        <v>45946</v>
      </c>
      <c r="C290" s="2" t="s">
        <v>10</v>
      </c>
      <c r="D290" s="2" t="s">
        <v>11</v>
      </c>
      <c r="E290" s="2" t="s">
        <v>12</v>
      </c>
      <c r="F290" s="2" t="s">
        <v>13</v>
      </c>
      <c r="G290" s="2">
        <v>11</v>
      </c>
      <c r="H290" s="2">
        <v>50000</v>
      </c>
      <c r="I290" s="2">
        <v>0</v>
      </c>
      <c r="J290" s="2">
        <f t="shared" si="4"/>
        <v>550000</v>
      </c>
      <c r="K290">
        <f>_xlfn.RANK.EQ(Data!J290,Data!J290:J789,1)</f>
        <v>203</v>
      </c>
    </row>
    <row r="291" spans="1:11" x14ac:dyDescent="0.25">
      <c r="A291" s="2">
        <v>1291</v>
      </c>
      <c r="B291" s="3">
        <v>45947</v>
      </c>
      <c r="C291" s="2" t="s">
        <v>14</v>
      </c>
      <c r="D291" s="2" t="s">
        <v>15</v>
      </c>
      <c r="E291" s="2" t="s">
        <v>16</v>
      </c>
      <c r="F291" s="2" t="s">
        <v>17</v>
      </c>
      <c r="G291" s="2">
        <v>14</v>
      </c>
      <c r="H291" s="2">
        <v>500</v>
      </c>
      <c r="I291" s="2">
        <v>0.05</v>
      </c>
      <c r="J291" s="2">
        <f t="shared" si="4"/>
        <v>6650</v>
      </c>
      <c r="K291">
        <f>_xlfn.RANK.EQ(Data!J291,Data!J291:J790,1)</f>
        <v>83</v>
      </c>
    </row>
    <row r="292" spans="1:11" x14ac:dyDescent="0.25">
      <c r="A292" s="2">
        <v>1292</v>
      </c>
      <c r="B292" s="3">
        <v>45948</v>
      </c>
      <c r="C292" s="2" t="s">
        <v>18</v>
      </c>
      <c r="D292" s="2" t="s">
        <v>19</v>
      </c>
      <c r="E292" s="2" t="s">
        <v>20</v>
      </c>
      <c r="F292" s="2" t="s">
        <v>21</v>
      </c>
      <c r="G292" s="2">
        <v>17</v>
      </c>
      <c r="H292" s="2">
        <v>1500</v>
      </c>
      <c r="I292" s="2">
        <v>0.1</v>
      </c>
      <c r="J292" s="2">
        <f t="shared" si="4"/>
        <v>22950</v>
      </c>
      <c r="K292">
        <f>_xlfn.RANK.EQ(Data!J292,Data!J292:J791,1)</f>
        <v>116</v>
      </c>
    </row>
    <row r="293" spans="1:11" x14ac:dyDescent="0.25">
      <c r="A293" s="2">
        <v>1293</v>
      </c>
      <c r="B293" s="3">
        <v>45949</v>
      </c>
      <c r="C293" s="2" t="s">
        <v>22</v>
      </c>
      <c r="D293" s="2" t="s">
        <v>23</v>
      </c>
      <c r="E293" s="2" t="s">
        <v>12</v>
      </c>
      <c r="F293" s="2" t="s">
        <v>24</v>
      </c>
      <c r="G293" s="2">
        <v>20</v>
      </c>
      <c r="H293" s="2">
        <v>12000</v>
      </c>
      <c r="I293" s="2">
        <v>0.15</v>
      </c>
      <c r="J293" s="2">
        <f t="shared" si="4"/>
        <v>204000</v>
      </c>
      <c r="K293">
        <f>_xlfn.RANK.EQ(Data!J293,Data!J293:J792,1)</f>
        <v>193</v>
      </c>
    </row>
    <row r="294" spans="1:11" x14ac:dyDescent="0.25">
      <c r="A294" s="2">
        <v>1294</v>
      </c>
      <c r="B294" s="3">
        <v>45950</v>
      </c>
      <c r="C294" s="2" t="s">
        <v>10</v>
      </c>
      <c r="D294" s="2" t="s">
        <v>25</v>
      </c>
      <c r="E294" s="2" t="s">
        <v>16</v>
      </c>
      <c r="F294" s="2" t="s">
        <v>26</v>
      </c>
      <c r="G294" s="2">
        <v>3</v>
      </c>
      <c r="H294" s="2">
        <v>4000</v>
      </c>
      <c r="I294" s="2">
        <v>0</v>
      </c>
      <c r="J294" s="2">
        <f t="shared" si="4"/>
        <v>12000</v>
      </c>
      <c r="K294">
        <f>_xlfn.RANK.EQ(Data!J294,Data!J294:J793,1)</f>
        <v>96</v>
      </c>
    </row>
    <row r="295" spans="1:11" x14ac:dyDescent="0.25">
      <c r="A295" s="2">
        <v>1295</v>
      </c>
      <c r="B295" s="3">
        <v>45951</v>
      </c>
      <c r="C295" s="2" t="s">
        <v>14</v>
      </c>
      <c r="D295" s="2" t="s">
        <v>27</v>
      </c>
      <c r="E295" s="2" t="s">
        <v>20</v>
      </c>
      <c r="F295" s="2" t="s">
        <v>28</v>
      </c>
      <c r="G295" s="2">
        <v>6</v>
      </c>
      <c r="H295" s="2">
        <v>8000</v>
      </c>
      <c r="I295" s="2">
        <v>0.05</v>
      </c>
      <c r="J295" s="2">
        <f t="shared" si="4"/>
        <v>45600</v>
      </c>
      <c r="K295">
        <f>_xlfn.RANK.EQ(Data!J295,Data!J295:J794,1)</f>
        <v>135</v>
      </c>
    </row>
    <row r="296" spans="1:11" x14ac:dyDescent="0.25">
      <c r="A296" s="2">
        <v>1296</v>
      </c>
      <c r="B296" s="3">
        <v>45952</v>
      </c>
      <c r="C296" s="2" t="s">
        <v>18</v>
      </c>
      <c r="D296" s="2" t="s">
        <v>29</v>
      </c>
      <c r="E296" s="2" t="s">
        <v>12</v>
      </c>
      <c r="F296" s="2" t="s">
        <v>30</v>
      </c>
      <c r="G296" s="2">
        <v>9</v>
      </c>
      <c r="H296" s="2">
        <v>10000</v>
      </c>
      <c r="I296" s="2">
        <v>0.1</v>
      </c>
      <c r="J296" s="2">
        <f t="shared" si="4"/>
        <v>81000</v>
      </c>
      <c r="K296">
        <f>_xlfn.RANK.EQ(Data!J296,Data!J296:J795,1)</f>
        <v>153</v>
      </c>
    </row>
    <row r="297" spans="1:11" x14ac:dyDescent="0.25">
      <c r="A297" s="2">
        <v>1297</v>
      </c>
      <c r="B297" s="3">
        <v>45953</v>
      </c>
      <c r="C297" s="2" t="s">
        <v>22</v>
      </c>
      <c r="D297" s="2" t="s">
        <v>31</v>
      </c>
      <c r="E297" s="2" t="s">
        <v>16</v>
      </c>
      <c r="F297" s="2" t="s">
        <v>32</v>
      </c>
      <c r="G297" s="2">
        <v>12</v>
      </c>
      <c r="H297" s="2">
        <v>6000</v>
      </c>
      <c r="I297" s="2">
        <v>0.15</v>
      </c>
      <c r="J297" s="2">
        <f t="shared" si="4"/>
        <v>61200</v>
      </c>
      <c r="K297">
        <f>_xlfn.RANK.EQ(Data!J297,Data!J297:J796,1)</f>
        <v>142</v>
      </c>
    </row>
    <row r="298" spans="1:11" x14ac:dyDescent="0.25">
      <c r="A298" s="2">
        <v>1298</v>
      </c>
      <c r="B298" s="3">
        <v>45954</v>
      </c>
      <c r="C298" s="2" t="s">
        <v>10</v>
      </c>
      <c r="D298" s="2" t="s">
        <v>11</v>
      </c>
      <c r="E298" s="2" t="s">
        <v>20</v>
      </c>
      <c r="F298" s="2" t="s">
        <v>33</v>
      </c>
      <c r="G298" s="2">
        <v>15</v>
      </c>
      <c r="H298" s="2">
        <v>20</v>
      </c>
      <c r="I298" s="2">
        <v>0</v>
      </c>
      <c r="J298" s="2">
        <f t="shared" si="4"/>
        <v>300</v>
      </c>
      <c r="K298">
        <f>_xlfn.RANK.EQ(Data!J298,Data!J298:J797,1)</f>
        <v>28</v>
      </c>
    </row>
    <row r="299" spans="1:11" x14ac:dyDescent="0.25">
      <c r="A299" s="2">
        <v>1299</v>
      </c>
      <c r="B299" s="3">
        <v>45955</v>
      </c>
      <c r="C299" s="2" t="s">
        <v>14</v>
      </c>
      <c r="D299" s="2" t="s">
        <v>15</v>
      </c>
      <c r="E299" s="2" t="s">
        <v>12</v>
      </c>
      <c r="F299" s="2" t="s">
        <v>34</v>
      </c>
      <c r="G299" s="2">
        <v>18</v>
      </c>
      <c r="H299" s="2">
        <v>100</v>
      </c>
      <c r="I299" s="2">
        <v>0.05</v>
      </c>
      <c r="J299" s="2">
        <f t="shared" si="4"/>
        <v>1710</v>
      </c>
      <c r="K299">
        <f>_xlfn.RANK.EQ(Data!J299,Data!J299:J798,1)</f>
        <v>70</v>
      </c>
    </row>
    <row r="300" spans="1:11" x14ac:dyDescent="0.25">
      <c r="A300" s="2">
        <v>1300</v>
      </c>
      <c r="B300" s="3">
        <v>45956</v>
      </c>
      <c r="C300" s="2" t="s">
        <v>18</v>
      </c>
      <c r="D300" s="2" t="s">
        <v>19</v>
      </c>
      <c r="E300" s="2" t="s">
        <v>16</v>
      </c>
      <c r="F300" s="2" t="s">
        <v>35</v>
      </c>
      <c r="G300" s="2">
        <v>1</v>
      </c>
      <c r="H300" s="2">
        <v>50</v>
      </c>
      <c r="I300" s="2">
        <v>0.1</v>
      </c>
      <c r="J300" s="2">
        <f t="shared" si="4"/>
        <v>45</v>
      </c>
      <c r="K300">
        <f>_xlfn.RANK.EQ(Data!J300,Data!J300:J799,1)</f>
        <v>1</v>
      </c>
    </row>
    <row r="301" spans="1:11" x14ac:dyDescent="0.25">
      <c r="A301" s="2">
        <v>1301</v>
      </c>
      <c r="B301" s="3">
        <v>45957</v>
      </c>
      <c r="C301" s="2" t="s">
        <v>22</v>
      </c>
      <c r="D301" s="2" t="s">
        <v>23</v>
      </c>
      <c r="E301" s="2" t="s">
        <v>20</v>
      </c>
      <c r="F301" s="2" t="s">
        <v>36</v>
      </c>
      <c r="G301" s="2">
        <v>4</v>
      </c>
      <c r="H301" s="2">
        <v>30</v>
      </c>
      <c r="I301" s="2">
        <v>0.15</v>
      </c>
      <c r="J301" s="2">
        <f t="shared" si="4"/>
        <v>102</v>
      </c>
      <c r="K301">
        <f>_xlfn.RANK.EQ(Data!J301,Data!J301:J800,1)</f>
        <v>7</v>
      </c>
    </row>
    <row r="302" spans="1:11" x14ac:dyDescent="0.25">
      <c r="A302" s="2">
        <v>1302</v>
      </c>
      <c r="B302" s="3">
        <v>45958</v>
      </c>
      <c r="C302" s="2" t="s">
        <v>10</v>
      </c>
      <c r="D302" s="2" t="s">
        <v>25</v>
      </c>
      <c r="E302" s="2" t="s">
        <v>12</v>
      </c>
      <c r="F302" s="2" t="s">
        <v>13</v>
      </c>
      <c r="G302" s="2">
        <v>7</v>
      </c>
      <c r="H302" s="2">
        <v>50000</v>
      </c>
      <c r="I302" s="2">
        <v>0</v>
      </c>
      <c r="J302" s="2">
        <f t="shared" si="4"/>
        <v>350000</v>
      </c>
      <c r="K302">
        <f>_xlfn.RANK.EQ(Data!J302,Data!J302:J801,1)</f>
        <v>188</v>
      </c>
    </row>
    <row r="303" spans="1:11" x14ac:dyDescent="0.25">
      <c r="A303" s="2">
        <v>1303</v>
      </c>
      <c r="B303" s="3">
        <v>45959</v>
      </c>
      <c r="C303" s="2" t="s">
        <v>14</v>
      </c>
      <c r="D303" s="2" t="s">
        <v>27</v>
      </c>
      <c r="E303" s="2" t="s">
        <v>16</v>
      </c>
      <c r="F303" s="2" t="s">
        <v>17</v>
      </c>
      <c r="G303" s="2">
        <v>10</v>
      </c>
      <c r="H303" s="2">
        <v>500</v>
      </c>
      <c r="I303" s="2">
        <v>0.05</v>
      </c>
      <c r="J303" s="2">
        <f t="shared" si="4"/>
        <v>4750</v>
      </c>
      <c r="K303">
        <f>_xlfn.RANK.EQ(Data!J303,Data!J303:J802,1)</f>
        <v>75</v>
      </c>
    </row>
    <row r="304" spans="1:11" x14ac:dyDescent="0.25">
      <c r="A304" s="2">
        <v>1304</v>
      </c>
      <c r="B304" s="3">
        <v>45960</v>
      </c>
      <c r="C304" s="2" t="s">
        <v>18</v>
      </c>
      <c r="D304" s="2" t="s">
        <v>29</v>
      </c>
      <c r="E304" s="2" t="s">
        <v>20</v>
      </c>
      <c r="F304" s="2" t="s">
        <v>21</v>
      </c>
      <c r="G304" s="2">
        <v>13</v>
      </c>
      <c r="H304" s="2">
        <v>1500</v>
      </c>
      <c r="I304" s="2">
        <v>0.1</v>
      </c>
      <c r="J304" s="2">
        <f t="shared" si="4"/>
        <v>17550</v>
      </c>
      <c r="K304">
        <f>_xlfn.RANK.EQ(Data!J304,Data!J304:J803,1)</f>
        <v>102</v>
      </c>
    </row>
    <row r="305" spans="1:11" x14ac:dyDescent="0.25">
      <c r="A305" s="2">
        <v>1305</v>
      </c>
      <c r="B305" s="3">
        <v>45961</v>
      </c>
      <c r="C305" s="2" t="s">
        <v>22</v>
      </c>
      <c r="D305" s="2" t="s">
        <v>31</v>
      </c>
      <c r="E305" s="2" t="s">
        <v>12</v>
      </c>
      <c r="F305" s="2" t="s">
        <v>24</v>
      </c>
      <c r="G305" s="2">
        <v>16</v>
      </c>
      <c r="H305" s="2">
        <v>12000</v>
      </c>
      <c r="I305" s="2">
        <v>0.15</v>
      </c>
      <c r="J305" s="2">
        <f t="shared" si="4"/>
        <v>163200</v>
      </c>
      <c r="K305">
        <f>_xlfn.RANK.EQ(Data!J305,Data!J305:J804,1)</f>
        <v>179</v>
      </c>
    </row>
    <row r="306" spans="1:11" x14ac:dyDescent="0.25">
      <c r="A306" s="2">
        <v>1306</v>
      </c>
      <c r="B306" s="3">
        <v>45962</v>
      </c>
      <c r="C306" s="2" t="s">
        <v>10</v>
      </c>
      <c r="D306" s="2" t="s">
        <v>11</v>
      </c>
      <c r="E306" s="2" t="s">
        <v>16</v>
      </c>
      <c r="F306" s="2" t="s">
        <v>26</v>
      </c>
      <c r="G306" s="2">
        <v>19</v>
      </c>
      <c r="H306" s="2">
        <v>4000</v>
      </c>
      <c r="I306" s="2">
        <v>0</v>
      </c>
      <c r="J306" s="2">
        <f t="shared" si="4"/>
        <v>76000</v>
      </c>
      <c r="K306">
        <f>_xlfn.RANK.EQ(Data!J306,Data!J306:J805,1)</f>
        <v>139</v>
      </c>
    </row>
    <row r="307" spans="1:11" x14ac:dyDescent="0.25">
      <c r="A307" s="2">
        <v>1307</v>
      </c>
      <c r="B307" s="3">
        <v>45963</v>
      </c>
      <c r="C307" s="2" t="s">
        <v>14</v>
      </c>
      <c r="D307" s="2" t="s">
        <v>15</v>
      </c>
      <c r="E307" s="2" t="s">
        <v>20</v>
      </c>
      <c r="F307" s="2" t="s">
        <v>28</v>
      </c>
      <c r="G307" s="2">
        <v>2</v>
      </c>
      <c r="H307" s="2">
        <v>8000</v>
      </c>
      <c r="I307" s="2">
        <v>0.05</v>
      </c>
      <c r="J307" s="2">
        <f t="shared" si="4"/>
        <v>15200</v>
      </c>
      <c r="K307">
        <f>_xlfn.RANK.EQ(Data!J307,Data!J307:J806,1)</f>
        <v>98</v>
      </c>
    </row>
    <row r="308" spans="1:11" x14ac:dyDescent="0.25">
      <c r="A308" s="2">
        <v>1308</v>
      </c>
      <c r="B308" s="3">
        <v>45964</v>
      </c>
      <c r="C308" s="2" t="s">
        <v>18</v>
      </c>
      <c r="D308" s="2" t="s">
        <v>19</v>
      </c>
      <c r="E308" s="2" t="s">
        <v>12</v>
      </c>
      <c r="F308" s="2" t="s">
        <v>30</v>
      </c>
      <c r="G308" s="2">
        <v>5</v>
      </c>
      <c r="H308" s="2">
        <v>10000</v>
      </c>
      <c r="I308" s="2">
        <v>0.1</v>
      </c>
      <c r="J308" s="2">
        <f t="shared" si="4"/>
        <v>45000</v>
      </c>
      <c r="K308">
        <f>_xlfn.RANK.EQ(Data!J308,Data!J308:J807,1)</f>
        <v>124</v>
      </c>
    </row>
    <row r="309" spans="1:11" x14ac:dyDescent="0.25">
      <c r="A309" s="2">
        <v>1309</v>
      </c>
      <c r="B309" s="3">
        <v>45965</v>
      </c>
      <c r="C309" s="2" t="s">
        <v>22</v>
      </c>
      <c r="D309" s="2" t="s">
        <v>23</v>
      </c>
      <c r="E309" s="2" t="s">
        <v>16</v>
      </c>
      <c r="F309" s="2" t="s">
        <v>32</v>
      </c>
      <c r="G309" s="2">
        <v>8</v>
      </c>
      <c r="H309" s="2">
        <v>6000</v>
      </c>
      <c r="I309" s="2">
        <v>0.15</v>
      </c>
      <c r="J309" s="2">
        <f t="shared" si="4"/>
        <v>40800</v>
      </c>
      <c r="K309">
        <f>_xlfn.RANK.EQ(Data!J309,Data!J309:J808,1)</f>
        <v>114</v>
      </c>
    </row>
    <row r="310" spans="1:11" x14ac:dyDescent="0.25">
      <c r="A310" s="2">
        <v>1310</v>
      </c>
      <c r="B310" s="3">
        <v>45966</v>
      </c>
      <c r="C310" s="2" t="s">
        <v>10</v>
      </c>
      <c r="D310" s="2" t="s">
        <v>25</v>
      </c>
      <c r="E310" s="2" t="s">
        <v>20</v>
      </c>
      <c r="F310" s="2" t="s">
        <v>33</v>
      </c>
      <c r="G310" s="2">
        <v>11</v>
      </c>
      <c r="H310" s="2">
        <v>20</v>
      </c>
      <c r="I310" s="2">
        <v>0</v>
      </c>
      <c r="J310" s="2">
        <f t="shared" si="4"/>
        <v>220</v>
      </c>
      <c r="K310">
        <f>_xlfn.RANK.EQ(Data!J310,Data!J310:J809,1)</f>
        <v>19</v>
      </c>
    </row>
    <row r="311" spans="1:11" x14ac:dyDescent="0.25">
      <c r="A311" s="2">
        <v>1311</v>
      </c>
      <c r="B311" s="3">
        <v>45967</v>
      </c>
      <c r="C311" s="2" t="s">
        <v>14</v>
      </c>
      <c r="D311" s="2" t="s">
        <v>27</v>
      </c>
      <c r="E311" s="2" t="s">
        <v>12</v>
      </c>
      <c r="F311" s="2" t="s">
        <v>34</v>
      </c>
      <c r="G311" s="2">
        <v>14</v>
      </c>
      <c r="H311" s="2">
        <v>100</v>
      </c>
      <c r="I311" s="2">
        <v>0.05</v>
      </c>
      <c r="J311" s="2">
        <f t="shared" si="4"/>
        <v>1330</v>
      </c>
      <c r="K311">
        <f>_xlfn.RANK.EQ(Data!J311,Data!J311:J810,1)</f>
        <v>60</v>
      </c>
    </row>
    <row r="312" spans="1:11" x14ac:dyDescent="0.25">
      <c r="A312" s="2">
        <v>1312</v>
      </c>
      <c r="B312" s="3">
        <v>45968</v>
      </c>
      <c r="C312" s="2" t="s">
        <v>18</v>
      </c>
      <c r="D312" s="2" t="s">
        <v>29</v>
      </c>
      <c r="E312" s="2" t="s">
        <v>16</v>
      </c>
      <c r="F312" s="2" t="s">
        <v>35</v>
      </c>
      <c r="G312" s="2">
        <v>17</v>
      </c>
      <c r="H312" s="2">
        <v>50</v>
      </c>
      <c r="I312" s="2">
        <v>0.1</v>
      </c>
      <c r="J312" s="2">
        <f t="shared" si="4"/>
        <v>765</v>
      </c>
      <c r="K312">
        <f>_xlfn.RANK.EQ(Data!J312,Data!J312:J811,1)</f>
        <v>50</v>
      </c>
    </row>
    <row r="313" spans="1:11" x14ac:dyDescent="0.25">
      <c r="A313" s="2">
        <v>1313</v>
      </c>
      <c r="B313" s="3">
        <v>45969</v>
      </c>
      <c r="C313" s="2" t="s">
        <v>22</v>
      </c>
      <c r="D313" s="2" t="s">
        <v>31</v>
      </c>
      <c r="E313" s="2" t="s">
        <v>20</v>
      </c>
      <c r="F313" s="2" t="s">
        <v>36</v>
      </c>
      <c r="G313" s="2">
        <v>20</v>
      </c>
      <c r="H313" s="2">
        <v>30</v>
      </c>
      <c r="I313" s="2">
        <v>0.15</v>
      </c>
      <c r="J313" s="2">
        <f t="shared" si="4"/>
        <v>510</v>
      </c>
      <c r="K313">
        <f>_xlfn.RANK.EQ(Data!J313,Data!J313:J812,1)</f>
        <v>40</v>
      </c>
    </row>
    <row r="314" spans="1:11" x14ac:dyDescent="0.25">
      <c r="A314" s="2">
        <v>1314</v>
      </c>
      <c r="B314" s="3">
        <v>45970</v>
      </c>
      <c r="C314" s="2" t="s">
        <v>10</v>
      </c>
      <c r="D314" s="2" t="s">
        <v>11</v>
      </c>
      <c r="E314" s="2" t="s">
        <v>12</v>
      </c>
      <c r="F314" s="2" t="s">
        <v>13</v>
      </c>
      <c r="G314" s="2">
        <v>3</v>
      </c>
      <c r="H314" s="2">
        <v>50000</v>
      </c>
      <c r="I314" s="2">
        <v>0</v>
      </c>
      <c r="J314" s="2">
        <f t="shared" si="4"/>
        <v>150000</v>
      </c>
      <c r="K314">
        <f>_xlfn.RANK.EQ(Data!J314,Data!J314:J813,1)</f>
        <v>164</v>
      </c>
    </row>
    <row r="315" spans="1:11" x14ac:dyDescent="0.25">
      <c r="A315" s="2">
        <v>1315</v>
      </c>
      <c r="B315" s="3">
        <v>45971</v>
      </c>
      <c r="C315" s="2" t="s">
        <v>14</v>
      </c>
      <c r="D315" s="2" t="s">
        <v>15</v>
      </c>
      <c r="E315" s="2" t="s">
        <v>16</v>
      </c>
      <c r="F315" s="2" t="s">
        <v>17</v>
      </c>
      <c r="G315" s="2">
        <v>6</v>
      </c>
      <c r="H315" s="2">
        <v>500</v>
      </c>
      <c r="I315" s="2">
        <v>0.05</v>
      </c>
      <c r="J315" s="2">
        <f t="shared" si="4"/>
        <v>2850</v>
      </c>
      <c r="K315">
        <f>_xlfn.RANK.EQ(Data!J315,Data!J315:J814,1)</f>
        <v>67</v>
      </c>
    </row>
    <row r="316" spans="1:11" x14ac:dyDescent="0.25">
      <c r="A316" s="2">
        <v>1316</v>
      </c>
      <c r="B316" s="3">
        <v>45972</v>
      </c>
      <c r="C316" s="2" t="s">
        <v>18</v>
      </c>
      <c r="D316" s="2" t="s">
        <v>19</v>
      </c>
      <c r="E316" s="2" t="s">
        <v>20</v>
      </c>
      <c r="F316" s="2" t="s">
        <v>21</v>
      </c>
      <c r="G316" s="2">
        <v>9</v>
      </c>
      <c r="H316" s="2">
        <v>1500</v>
      </c>
      <c r="I316" s="2">
        <v>0.1</v>
      </c>
      <c r="J316" s="2">
        <f t="shared" si="4"/>
        <v>12150</v>
      </c>
      <c r="K316">
        <f>_xlfn.RANK.EQ(Data!J316,Data!J316:J815,1)</f>
        <v>89</v>
      </c>
    </row>
    <row r="317" spans="1:11" x14ac:dyDescent="0.25">
      <c r="A317" s="2">
        <v>1317</v>
      </c>
      <c r="B317" s="3">
        <v>45973</v>
      </c>
      <c r="C317" s="2" t="s">
        <v>22</v>
      </c>
      <c r="D317" s="2" t="s">
        <v>23</v>
      </c>
      <c r="E317" s="2" t="s">
        <v>12</v>
      </c>
      <c r="F317" s="2" t="s">
        <v>24</v>
      </c>
      <c r="G317" s="2">
        <v>12</v>
      </c>
      <c r="H317" s="2">
        <v>12000</v>
      </c>
      <c r="I317" s="2">
        <v>0.15</v>
      </c>
      <c r="J317" s="2">
        <f t="shared" si="4"/>
        <v>122400</v>
      </c>
      <c r="K317">
        <f>_xlfn.RANK.EQ(Data!J317,Data!J317:J816,1)</f>
        <v>154</v>
      </c>
    </row>
    <row r="318" spans="1:11" x14ac:dyDescent="0.25">
      <c r="A318" s="2">
        <v>1318</v>
      </c>
      <c r="B318" s="3">
        <v>45974</v>
      </c>
      <c r="C318" s="2" t="s">
        <v>10</v>
      </c>
      <c r="D318" s="2" t="s">
        <v>25</v>
      </c>
      <c r="E318" s="2" t="s">
        <v>16</v>
      </c>
      <c r="F318" s="2" t="s">
        <v>26</v>
      </c>
      <c r="G318" s="2">
        <v>15</v>
      </c>
      <c r="H318" s="2">
        <v>4000</v>
      </c>
      <c r="I318" s="2">
        <v>0</v>
      </c>
      <c r="J318" s="2">
        <f t="shared" si="4"/>
        <v>60000</v>
      </c>
      <c r="K318">
        <f>_xlfn.RANK.EQ(Data!J318,Data!J318:J817,1)</f>
        <v>123</v>
      </c>
    </row>
    <row r="319" spans="1:11" x14ac:dyDescent="0.25">
      <c r="A319" s="2">
        <v>1319</v>
      </c>
      <c r="B319" s="3">
        <v>45975</v>
      </c>
      <c r="C319" s="2" t="s">
        <v>14</v>
      </c>
      <c r="D319" s="2" t="s">
        <v>27</v>
      </c>
      <c r="E319" s="2" t="s">
        <v>20</v>
      </c>
      <c r="F319" s="2" t="s">
        <v>28</v>
      </c>
      <c r="G319" s="2">
        <v>18</v>
      </c>
      <c r="H319" s="2">
        <v>8000</v>
      </c>
      <c r="I319" s="2">
        <v>0.05</v>
      </c>
      <c r="J319" s="2">
        <f t="shared" si="4"/>
        <v>136800</v>
      </c>
      <c r="K319">
        <f>_xlfn.RANK.EQ(Data!J319,Data!J319:J818,1)</f>
        <v>156</v>
      </c>
    </row>
    <row r="320" spans="1:11" x14ac:dyDescent="0.25">
      <c r="A320" s="2">
        <v>1320</v>
      </c>
      <c r="B320" s="3">
        <v>45976</v>
      </c>
      <c r="C320" s="2" t="s">
        <v>18</v>
      </c>
      <c r="D320" s="2" t="s">
        <v>29</v>
      </c>
      <c r="E320" s="2" t="s">
        <v>12</v>
      </c>
      <c r="F320" s="2" t="s">
        <v>30</v>
      </c>
      <c r="G320" s="2">
        <v>1</v>
      </c>
      <c r="H320" s="2">
        <v>10000</v>
      </c>
      <c r="I320" s="2">
        <v>0.1</v>
      </c>
      <c r="J320" s="2">
        <f t="shared" si="4"/>
        <v>9000</v>
      </c>
      <c r="K320">
        <f>_xlfn.RANK.EQ(Data!J320,Data!J320:J819,1)</f>
        <v>82</v>
      </c>
    </row>
    <row r="321" spans="1:11" x14ac:dyDescent="0.25">
      <c r="A321" s="2">
        <v>1321</v>
      </c>
      <c r="B321" s="3">
        <v>45977</v>
      </c>
      <c r="C321" s="2" t="s">
        <v>22</v>
      </c>
      <c r="D321" s="2" t="s">
        <v>31</v>
      </c>
      <c r="E321" s="2" t="s">
        <v>16</v>
      </c>
      <c r="F321" s="2" t="s">
        <v>32</v>
      </c>
      <c r="G321" s="2">
        <v>4</v>
      </c>
      <c r="H321" s="2">
        <v>6000</v>
      </c>
      <c r="I321" s="2">
        <v>0.15</v>
      </c>
      <c r="J321" s="2">
        <f t="shared" si="4"/>
        <v>20400</v>
      </c>
      <c r="K321">
        <f>_xlfn.RANK.EQ(Data!J321,Data!J321:J820,1)</f>
        <v>97</v>
      </c>
    </row>
    <row r="322" spans="1:11" x14ac:dyDescent="0.25">
      <c r="A322" s="2">
        <v>1322</v>
      </c>
      <c r="B322" s="3">
        <v>45978</v>
      </c>
      <c r="C322" s="2" t="s">
        <v>10</v>
      </c>
      <c r="D322" s="2" t="s">
        <v>11</v>
      </c>
      <c r="E322" s="2" t="s">
        <v>20</v>
      </c>
      <c r="F322" s="2" t="s">
        <v>33</v>
      </c>
      <c r="G322" s="2">
        <v>7</v>
      </c>
      <c r="H322" s="2">
        <v>20</v>
      </c>
      <c r="I322" s="2">
        <v>0</v>
      </c>
      <c r="J322" s="2">
        <f t="shared" ref="J322:J385" si="5">G322*H322*(1-I322)</f>
        <v>140</v>
      </c>
      <c r="K322">
        <f>_xlfn.RANK.EQ(Data!J322,Data!J322:J821,1)</f>
        <v>10</v>
      </c>
    </row>
    <row r="323" spans="1:11" x14ac:dyDescent="0.25">
      <c r="A323" s="2">
        <v>1323</v>
      </c>
      <c r="B323" s="3">
        <v>45979</v>
      </c>
      <c r="C323" s="2" t="s">
        <v>14</v>
      </c>
      <c r="D323" s="2" t="s">
        <v>15</v>
      </c>
      <c r="E323" s="2" t="s">
        <v>12</v>
      </c>
      <c r="F323" s="2" t="s">
        <v>34</v>
      </c>
      <c r="G323" s="2">
        <v>10</v>
      </c>
      <c r="H323" s="2">
        <v>100</v>
      </c>
      <c r="I323" s="2">
        <v>0.05</v>
      </c>
      <c r="J323" s="2">
        <f t="shared" si="5"/>
        <v>950</v>
      </c>
      <c r="K323">
        <f>_xlfn.RANK.EQ(Data!J323,Data!J323:J822,1)</f>
        <v>51</v>
      </c>
    </row>
    <row r="324" spans="1:11" x14ac:dyDescent="0.25">
      <c r="A324" s="2">
        <v>1324</v>
      </c>
      <c r="B324" s="3">
        <v>45980</v>
      </c>
      <c r="C324" s="2" t="s">
        <v>18</v>
      </c>
      <c r="D324" s="2" t="s">
        <v>19</v>
      </c>
      <c r="E324" s="2" t="s">
        <v>16</v>
      </c>
      <c r="F324" s="2" t="s">
        <v>35</v>
      </c>
      <c r="G324" s="2">
        <v>13</v>
      </c>
      <c r="H324" s="2">
        <v>50</v>
      </c>
      <c r="I324" s="2">
        <v>0.1</v>
      </c>
      <c r="J324" s="2">
        <f t="shared" si="5"/>
        <v>585</v>
      </c>
      <c r="K324">
        <f>_xlfn.RANK.EQ(Data!J324,Data!J324:J823,1)</f>
        <v>45</v>
      </c>
    </row>
    <row r="325" spans="1:11" x14ac:dyDescent="0.25">
      <c r="A325" s="2">
        <v>1325</v>
      </c>
      <c r="B325" s="3">
        <v>45981</v>
      </c>
      <c r="C325" s="2" t="s">
        <v>22</v>
      </c>
      <c r="D325" s="2" t="s">
        <v>23</v>
      </c>
      <c r="E325" s="2" t="s">
        <v>20</v>
      </c>
      <c r="F325" s="2" t="s">
        <v>36</v>
      </c>
      <c r="G325" s="2">
        <v>16</v>
      </c>
      <c r="H325" s="2">
        <v>30</v>
      </c>
      <c r="I325" s="2">
        <v>0.15</v>
      </c>
      <c r="J325" s="2">
        <f t="shared" si="5"/>
        <v>408</v>
      </c>
      <c r="K325">
        <f>_xlfn.RANK.EQ(Data!J325,Data!J325:J824,1)</f>
        <v>36</v>
      </c>
    </row>
    <row r="326" spans="1:11" x14ac:dyDescent="0.25">
      <c r="A326" s="2">
        <v>1326</v>
      </c>
      <c r="B326" s="3">
        <v>45982</v>
      </c>
      <c r="C326" s="2" t="s">
        <v>10</v>
      </c>
      <c r="D326" s="2" t="s">
        <v>25</v>
      </c>
      <c r="E326" s="2" t="s">
        <v>12</v>
      </c>
      <c r="F326" s="2" t="s">
        <v>13</v>
      </c>
      <c r="G326" s="2">
        <v>19</v>
      </c>
      <c r="H326" s="2">
        <v>50000</v>
      </c>
      <c r="I326" s="2">
        <v>0</v>
      </c>
      <c r="J326" s="2">
        <f t="shared" si="5"/>
        <v>950000</v>
      </c>
      <c r="K326">
        <f>_xlfn.RANK.EQ(Data!J326,Data!J326:J825,1)</f>
        <v>174</v>
      </c>
    </row>
    <row r="327" spans="1:11" x14ac:dyDescent="0.25">
      <c r="A327" s="2">
        <v>1327</v>
      </c>
      <c r="B327" s="3">
        <v>45983</v>
      </c>
      <c r="C327" s="2" t="s">
        <v>14</v>
      </c>
      <c r="D327" s="2" t="s">
        <v>27</v>
      </c>
      <c r="E327" s="2" t="s">
        <v>16</v>
      </c>
      <c r="F327" s="2" t="s">
        <v>17</v>
      </c>
      <c r="G327" s="2">
        <v>2</v>
      </c>
      <c r="H327" s="2">
        <v>500</v>
      </c>
      <c r="I327" s="2">
        <v>0.05</v>
      </c>
      <c r="J327" s="2">
        <f t="shared" si="5"/>
        <v>950</v>
      </c>
      <c r="K327">
        <f>_xlfn.RANK.EQ(Data!J327,Data!J327:J826,1)</f>
        <v>49</v>
      </c>
    </row>
    <row r="328" spans="1:11" x14ac:dyDescent="0.25">
      <c r="A328" s="2">
        <v>1328</v>
      </c>
      <c r="B328" s="3">
        <v>45984</v>
      </c>
      <c r="C328" s="2" t="s">
        <v>18</v>
      </c>
      <c r="D328" s="2" t="s">
        <v>29</v>
      </c>
      <c r="E328" s="2" t="s">
        <v>20</v>
      </c>
      <c r="F328" s="2" t="s">
        <v>21</v>
      </c>
      <c r="G328" s="2">
        <v>5</v>
      </c>
      <c r="H328" s="2">
        <v>1500</v>
      </c>
      <c r="I328" s="2">
        <v>0.1</v>
      </c>
      <c r="J328" s="2">
        <f t="shared" si="5"/>
        <v>6750</v>
      </c>
      <c r="K328">
        <f>_xlfn.RANK.EQ(Data!J328,Data!J328:J827,1)</f>
        <v>71</v>
      </c>
    </row>
    <row r="329" spans="1:11" x14ac:dyDescent="0.25">
      <c r="A329" s="2">
        <v>1329</v>
      </c>
      <c r="B329" s="3">
        <v>45985</v>
      </c>
      <c r="C329" s="2" t="s">
        <v>22</v>
      </c>
      <c r="D329" s="2" t="s">
        <v>31</v>
      </c>
      <c r="E329" s="2" t="s">
        <v>12</v>
      </c>
      <c r="F329" s="2" t="s">
        <v>24</v>
      </c>
      <c r="G329" s="2">
        <v>8</v>
      </c>
      <c r="H329" s="2">
        <v>12000</v>
      </c>
      <c r="I329" s="2">
        <v>0.15</v>
      </c>
      <c r="J329" s="2">
        <f t="shared" si="5"/>
        <v>81600</v>
      </c>
      <c r="K329">
        <f>_xlfn.RANK.EQ(Data!J329,Data!J329:J828,1)</f>
        <v>130</v>
      </c>
    </row>
    <row r="330" spans="1:11" x14ac:dyDescent="0.25">
      <c r="A330" s="2">
        <v>1330</v>
      </c>
      <c r="B330" s="3">
        <v>45986</v>
      </c>
      <c r="C330" s="2" t="s">
        <v>10</v>
      </c>
      <c r="D330" s="2" t="s">
        <v>11</v>
      </c>
      <c r="E330" s="2" t="s">
        <v>16</v>
      </c>
      <c r="F330" s="2" t="s">
        <v>26</v>
      </c>
      <c r="G330" s="2">
        <v>11</v>
      </c>
      <c r="H330" s="2">
        <v>4000</v>
      </c>
      <c r="I330" s="2">
        <v>0</v>
      </c>
      <c r="J330" s="2">
        <f t="shared" si="5"/>
        <v>44000</v>
      </c>
      <c r="K330">
        <f>_xlfn.RANK.EQ(Data!J330,Data!J330:J829,1)</f>
        <v>106</v>
      </c>
    </row>
    <row r="331" spans="1:11" x14ac:dyDescent="0.25">
      <c r="A331" s="2">
        <v>1331</v>
      </c>
      <c r="B331" s="3">
        <v>45987</v>
      </c>
      <c r="C331" s="2" t="s">
        <v>14</v>
      </c>
      <c r="D331" s="2" t="s">
        <v>15</v>
      </c>
      <c r="E331" s="2" t="s">
        <v>20</v>
      </c>
      <c r="F331" s="2" t="s">
        <v>28</v>
      </c>
      <c r="G331" s="2">
        <v>14</v>
      </c>
      <c r="H331" s="2">
        <v>8000</v>
      </c>
      <c r="I331" s="2">
        <v>0.05</v>
      </c>
      <c r="J331" s="2">
        <f t="shared" si="5"/>
        <v>106400</v>
      </c>
      <c r="K331">
        <f>_xlfn.RANK.EQ(Data!J331,Data!J331:J830,1)</f>
        <v>137</v>
      </c>
    </row>
    <row r="332" spans="1:11" x14ac:dyDescent="0.25">
      <c r="A332" s="2">
        <v>1332</v>
      </c>
      <c r="B332" s="3">
        <v>45988</v>
      </c>
      <c r="C332" s="2" t="s">
        <v>18</v>
      </c>
      <c r="D332" s="2" t="s">
        <v>19</v>
      </c>
      <c r="E332" s="2" t="s">
        <v>12</v>
      </c>
      <c r="F332" s="2" t="s">
        <v>30</v>
      </c>
      <c r="G332" s="2">
        <v>17</v>
      </c>
      <c r="H332" s="2">
        <v>10000</v>
      </c>
      <c r="I332" s="2">
        <v>0.1</v>
      </c>
      <c r="J332" s="2">
        <f t="shared" si="5"/>
        <v>153000</v>
      </c>
      <c r="K332">
        <f>_xlfn.RANK.EQ(Data!J332,Data!J332:J831,1)</f>
        <v>151</v>
      </c>
    </row>
    <row r="333" spans="1:11" x14ac:dyDescent="0.25">
      <c r="A333" s="2">
        <v>1333</v>
      </c>
      <c r="B333" s="3">
        <v>45989</v>
      </c>
      <c r="C333" s="2" t="s">
        <v>22</v>
      </c>
      <c r="D333" s="2" t="s">
        <v>23</v>
      </c>
      <c r="E333" s="2" t="s">
        <v>16</v>
      </c>
      <c r="F333" s="2" t="s">
        <v>32</v>
      </c>
      <c r="G333" s="2">
        <v>20</v>
      </c>
      <c r="H333" s="2">
        <v>6000</v>
      </c>
      <c r="I333" s="2">
        <v>0.15</v>
      </c>
      <c r="J333" s="2">
        <f t="shared" si="5"/>
        <v>102000</v>
      </c>
      <c r="K333">
        <f>_xlfn.RANK.EQ(Data!J333,Data!J333:J832,1)</f>
        <v>134</v>
      </c>
    </row>
    <row r="334" spans="1:11" x14ac:dyDescent="0.25">
      <c r="A334" s="2">
        <v>1334</v>
      </c>
      <c r="B334" s="3">
        <v>45990</v>
      </c>
      <c r="C334" s="2" t="s">
        <v>10</v>
      </c>
      <c r="D334" s="2" t="s">
        <v>25</v>
      </c>
      <c r="E334" s="2" t="s">
        <v>20</v>
      </c>
      <c r="F334" s="2" t="s">
        <v>33</v>
      </c>
      <c r="G334" s="2">
        <v>3</v>
      </c>
      <c r="H334" s="2">
        <v>20</v>
      </c>
      <c r="I334" s="2">
        <v>0</v>
      </c>
      <c r="J334" s="2">
        <f t="shared" si="5"/>
        <v>60</v>
      </c>
      <c r="K334">
        <f>_xlfn.RANK.EQ(Data!J334,Data!J334:J833,1)</f>
        <v>4</v>
      </c>
    </row>
    <row r="335" spans="1:11" x14ac:dyDescent="0.25">
      <c r="A335" s="2">
        <v>1335</v>
      </c>
      <c r="B335" s="3">
        <v>45991</v>
      </c>
      <c r="C335" s="2" t="s">
        <v>14</v>
      </c>
      <c r="D335" s="2" t="s">
        <v>27</v>
      </c>
      <c r="E335" s="2" t="s">
        <v>12</v>
      </c>
      <c r="F335" s="2" t="s">
        <v>34</v>
      </c>
      <c r="G335" s="2">
        <v>6</v>
      </c>
      <c r="H335" s="2">
        <v>100</v>
      </c>
      <c r="I335" s="2">
        <v>0.05</v>
      </c>
      <c r="J335" s="2">
        <f t="shared" si="5"/>
        <v>570</v>
      </c>
      <c r="K335">
        <f>_xlfn.RANK.EQ(Data!J335,Data!J335:J834,1)</f>
        <v>40</v>
      </c>
    </row>
    <row r="336" spans="1:11" x14ac:dyDescent="0.25">
      <c r="A336" s="2">
        <v>1336</v>
      </c>
      <c r="B336" s="3">
        <v>45992</v>
      </c>
      <c r="C336" s="2" t="s">
        <v>18</v>
      </c>
      <c r="D336" s="2" t="s">
        <v>29</v>
      </c>
      <c r="E336" s="2" t="s">
        <v>16</v>
      </c>
      <c r="F336" s="2" t="s">
        <v>35</v>
      </c>
      <c r="G336" s="2">
        <v>9</v>
      </c>
      <c r="H336" s="2">
        <v>50</v>
      </c>
      <c r="I336" s="2">
        <v>0.1</v>
      </c>
      <c r="J336" s="2">
        <f t="shared" si="5"/>
        <v>405</v>
      </c>
      <c r="K336">
        <f>_xlfn.RANK.EQ(Data!J336,Data!J336:J835,1)</f>
        <v>32</v>
      </c>
    </row>
    <row r="337" spans="1:11" x14ac:dyDescent="0.25">
      <c r="A337" s="2">
        <v>1337</v>
      </c>
      <c r="B337" s="3">
        <v>45993</v>
      </c>
      <c r="C337" s="2" t="s">
        <v>22</v>
      </c>
      <c r="D337" s="2" t="s">
        <v>31</v>
      </c>
      <c r="E337" s="2" t="s">
        <v>20</v>
      </c>
      <c r="F337" s="2" t="s">
        <v>36</v>
      </c>
      <c r="G337" s="2">
        <v>12</v>
      </c>
      <c r="H337" s="2">
        <v>30</v>
      </c>
      <c r="I337" s="2">
        <v>0.15</v>
      </c>
      <c r="J337" s="2">
        <f t="shared" si="5"/>
        <v>306</v>
      </c>
      <c r="K337">
        <f>_xlfn.RANK.EQ(Data!J337,Data!J337:J836,1)</f>
        <v>26</v>
      </c>
    </row>
    <row r="338" spans="1:11" x14ac:dyDescent="0.25">
      <c r="A338" s="2">
        <v>1338</v>
      </c>
      <c r="B338" s="3">
        <v>45994</v>
      </c>
      <c r="C338" s="2" t="s">
        <v>10</v>
      </c>
      <c r="D338" s="2" t="s">
        <v>11</v>
      </c>
      <c r="E338" s="2" t="s">
        <v>12</v>
      </c>
      <c r="F338" s="2" t="s">
        <v>13</v>
      </c>
      <c r="G338" s="2">
        <v>15</v>
      </c>
      <c r="H338" s="2">
        <v>50000</v>
      </c>
      <c r="I338" s="2">
        <v>0</v>
      </c>
      <c r="J338" s="2">
        <f t="shared" si="5"/>
        <v>750000</v>
      </c>
      <c r="K338">
        <f>_xlfn.RANK.EQ(Data!J338,Data!J338:J837,1)</f>
        <v>160</v>
      </c>
    </row>
    <row r="339" spans="1:11" x14ac:dyDescent="0.25">
      <c r="A339" s="2">
        <v>1339</v>
      </c>
      <c r="B339" s="3">
        <v>45995</v>
      </c>
      <c r="C339" s="2" t="s">
        <v>14</v>
      </c>
      <c r="D339" s="2" t="s">
        <v>15</v>
      </c>
      <c r="E339" s="2" t="s">
        <v>16</v>
      </c>
      <c r="F339" s="2" t="s">
        <v>17</v>
      </c>
      <c r="G339" s="2">
        <v>18</v>
      </c>
      <c r="H339" s="2">
        <v>500</v>
      </c>
      <c r="I339" s="2">
        <v>0.05</v>
      </c>
      <c r="J339" s="2">
        <f t="shared" si="5"/>
        <v>8550</v>
      </c>
      <c r="K339">
        <f>_xlfn.RANK.EQ(Data!J339,Data!J339:J838,1)</f>
        <v>69</v>
      </c>
    </row>
    <row r="340" spans="1:11" x14ac:dyDescent="0.25">
      <c r="A340" s="2">
        <v>1340</v>
      </c>
      <c r="B340" s="3">
        <v>45996</v>
      </c>
      <c r="C340" s="2" t="s">
        <v>18</v>
      </c>
      <c r="D340" s="2" t="s">
        <v>19</v>
      </c>
      <c r="E340" s="2" t="s">
        <v>20</v>
      </c>
      <c r="F340" s="2" t="s">
        <v>21</v>
      </c>
      <c r="G340" s="2">
        <v>1</v>
      </c>
      <c r="H340" s="2">
        <v>1500</v>
      </c>
      <c r="I340" s="2">
        <v>0.1</v>
      </c>
      <c r="J340" s="2">
        <f t="shared" si="5"/>
        <v>1350</v>
      </c>
      <c r="K340">
        <f>_xlfn.RANK.EQ(Data!J340,Data!J340:J839,1)</f>
        <v>52</v>
      </c>
    </row>
    <row r="341" spans="1:11" x14ac:dyDescent="0.25">
      <c r="A341" s="2">
        <v>1341</v>
      </c>
      <c r="B341" s="3">
        <v>45997</v>
      </c>
      <c r="C341" s="2" t="s">
        <v>22</v>
      </c>
      <c r="D341" s="2" t="s">
        <v>23</v>
      </c>
      <c r="E341" s="2" t="s">
        <v>12</v>
      </c>
      <c r="F341" s="2" t="s">
        <v>24</v>
      </c>
      <c r="G341" s="2">
        <v>4</v>
      </c>
      <c r="H341" s="2">
        <v>12000</v>
      </c>
      <c r="I341" s="2">
        <v>0.15</v>
      </c>
      <c r="J341" s="2">
        <f t="shared" si="5"/>
        <v>40800</v>
      </c>
      <c r="K341">
        <f>_xlfn.RANK.EQ(Data!J341,Data!J341:J840,1)</f>
        <v>94</v>
      </c>
    </row>
    <row r="342" spans="1:11" x14ac:dyDescent="0.25">
      <c r="A342" s="2">
        <v>1342</v>
      </c>
      <c r="B342" s="3">
        <v>45998</v>
      </c>
      <c r="C342" s="2" t="s">
        <v>10</v>
      </c>
      <c r="D342" s="2" t="s">
        <v>25</v>
      </c>
      <c r="E342" s="2" t="s">
        <v>16</v>
      </c>
      <c r="F342" s="2" t="s">
        <v>26</v>
      </c>
      <c r="G342" s="2">
        <v>7</v>
      </c>
      <c r="H342" s="2">
        <v>4000</v>
      </c>
      <c r="I342" s="2">
        <v>0</v>
      </c>
      <c r="J342" s="2">
        <f t="shared" si="5"/>
        <v>28000</v>
      </c>
      <c r="K342">
        <f>_xlfn.RANK.EQ(Data!J342,Data!J342:J841,1)</f>
        <v>91</v>
      </c>
    </row>
    <row r="343" spans="1:11" x14ac:dyDescent="0.25">
      <c r="A343" s="2">
        <v>1343</v>
      </c>
      <c r="B343" s="3">
        <v>45999</v>
      </c>
      <c r="C343" s="2" t="s">
        <v>14</v>
      </c>
      <c r="D343" s="2" t="s">
        <v>27</v>
      </c>
      <c r="E343" s="2" t="s">
        <v>20</v>
      </c>
      <c r="F343" s="2" t="s">
        <v>28</v>
      </c>
      <c r="G343" s="2">
        <v>10</v>
      </c>
      <c r="H343" s="2">
        <v>8000</v>
      </c>
      <c r="I343" s="2">
        <v>0.05</v>
      </c>
      <c r="J343" s="2">
        <f t="shared" si="5"/>
        <v>76000</v>
      </c>
      <c r="K343">
        <f>_xlfn.RANK.EQ(Data!J343,Data!J343:J842,1)</f>
        <v>112</v>
      </c>
    </row>
    <row r="344" spans="1:11" x14ac:dyDescent="0.25">
      <c r="A344" s="2">
        <v>1344</v>
      </c>
      <c r="B344" s="3">
        <v>46000</v>
      </c>
      <c r="C344" s="2" t="s">
        <v>18</v>
      </c>
      <c r="D344" s="2" t="s">
        <v>29</v>
      </c>
      <c r="E344" s="2" t="s">
        <v>12</v>
      </c>
      <c r="F344" s="2" t="s">
        <v>30</v>
      </c>
      <c r="G344" s="2">
        <v>13</v>
      </c>
      <c r="H344" s="2">
        <v>10000</v>
      </c>
      <c r="I344" s="2">
        <v>0.1</v>
      </c>
      <c r="J344" s="2">
        <f t="shared" si="5"/>
        <v>117000</v>
      </c>
      <c r="K344">
        <f>_xlfn.RANK.EQ(Data!J344,Data!J344:J843,1)</f>
        <v>129</v>
      </c>
    </row>
    <row r="345" spans="1:11" x14ac:dyDescent="0.25">
      <c r="A345" s="2">
        <v>1345</v>
      </c>
      <c r="B345" s="3">
        <v>46001</v>
      </c>
      <c r="C345" s="2" t="s">
        <v>22</v>
      </c>
      <c r="D345" s="2" t="s">
        <v>31</v>
      </c>
      <c r="E345" s="2" t="s">
        <v>16</v>
      </c>
      <c r="F345" s="2" t="s">
        <v>32</v>
      </c>
      <c r="G345" s="2">
        <v>16</v>
      </c>
      <c r="H345" s="2">
        <v>6000</v>
      </c>
      <c r="I345" s="2">
        <v>0.15</v>
      </c>
      <c r="J345" s="2">
        <f t="shared" si="5"/>
        <v>81600</v>
      </c>
      <c r="K345">
        <f>_xlfn.RANK.EQ(Data!J345,Data!J345:J844,1)</f>
        <v>120</v>
      </c>
    </row>
    <row r="346" spans="1:11" x14ac:dyDescent="0.25">
      <c r="A346" s="2">
        <v>1346</v>
      </c>
      <c r="B346" s="3">
        <v>46002</v>
      </c>
      <c r="C346" s="2" t="s">
        <v>10</v>
      </c>
      <c r="D346" s="2" t="s">
        <v>11</v>
      </c>
      <c r="E346" s="2" t="s">
        <v>20</v>
      </c>
      <c r="F346" s="2" t="s">
        <v>33</v>
      </c>
      <c r="G346" s="2">
        <v>19</v>
      </c>
      <c r="H346" s="2">
        <v>20</v>
      </c>
      <c r="I346" s="2">
        <v>0</v>
      </c>
      <c r="J346" s="2">
        <f t="shared" si="5"/>
        <v>380</v>
      </c>
      <c r="K346">
        <f>_xlfn.RANK.EQ(Data!J346,Data!J346:J845,1)</f>
        <v>28</v>
      </c>
    </row>
    <row r="347" spans="1:11" x14ac:dyDescent="0.25">
      <c r="A347" s="2">
        <v>1347</v>
      </c>
      <c r="B347" s="3">
        <v>46003</v>
      </c>
      <c r="C347" s="2" t="s">
        <v>14</v>
      </c>
      <c r="D347" s="2" t="s">
        <v>15</v>
      </c>
      <c r="E347" s="2" t="s">
        <v>12</v>
      </c>
      <c r="F347" s="2" t="s">
        <v>34</v>
      </c>
      <c r="G347" s="2">
        <v>2</v>
      </c>
      <c r="H347" s="2">
        <v>100</v>
      </c>
      <c r="I347" s="2">
        <v>0.05</v>
      </c>
      <c r="J347" s="2">
        <f t="shared" si="5"/>
        <v>190</v>
      </c>
      <c r="K347">
        <f>_xlfn.RANK.EQ(Data!J347,Data!J347:J846,1)</f>
        <v>11</v>
      </c>
    </row>
    <row r="348" spans="1:11" x14ac:dyDescent="0.25">
      <c r="A348" s="2">
        <v>1348</v>
      </c>
      <c r="B348" s="3">
        <v>46004</v>
      </c>
      <c r="C348" s="2" t="s">
        <v>18</v>
      </c>
      <c r="D348" s="2" t="s">
        <v>19</v>
      </c>
      <c r="E348" s="2" t="s">
        <v>16</v>
      </c>
      <c r="F348" s="2" t="s">
        <v>35</v>
      </c>
      <c r="G348" s="2">
        <v>5</v>
      </c>
      <c r="H348" s="2">
        <v>50</v>
      </c>
      <c r="I348" s="2">
        <v>0.1</v>
      </c>
      <c r="J348" s="2">
        <f t="shared" si="5"/>
        <v>225</v>
      </c>
      <c r="K348">
        <f>_xlfn.RANK.EQ(Data!J348,Data!J348:J847,1)</f>
        <v>19</v>
      </c>
    </row>
    <row r="349" spans="1:11" x14ac:dyDescent="0.25">
      <c r="A349" s="2">
        <v>1349</v>
      </c>
      <c r="B349" s="3">
        <v>46005</v>
      </c>
      <c r="C349" s="2" t="s">
        <v>22</v>
      </c>
      <c r="D349" s="2" t="s">
        <v>23</v>
      </c>
      <c r="E349" s="2" t="s">
        <v>20</v>
      </c>
      <c r="F349" s="2" t="s">
        <v>36</v>
      </c>
      <c r="G349" s="2">
        <v>8</v>
      </c>
      <c r="H349" s="2">
        <v>30</v>
      </c>
      <c r="I349" s="2">
        <v>0.15</v>
      </c>
      <c r="J349" s="2">
        <f t="shared" si="5"/>
        <v>204</v>
      </c>
      <c r="K349">
        <f>_xlfn.RANK.EQ(Data!J349,Data!J349:J848,1)</f>
        <v>13</v>
      </c>
    </row>
    <row r="350" spans="1:11" x14ac:dyDescent="0.25">
      <c r="A350" s="2">
        <v>1350</v>
      </c>
      <c r="B350" s="3">
        <v>46006</v>
      </c>
      <c r="C350" s="2" t="s">
        <v>10</v>
      </c>
      <c r="D350" s="2" t="s">
        <v>25</v>
      </c>
      <c r="E350" s="2" t="s">
        <v>12</v>
      </c>
      <c r="F350" s="2" t="s">
        <v>13</v>
      </c>
      <c r="G350" s="2">
        <v>11</v>
      </c>
      <c r="H350" s="2">
        <v>50000</v>
      </c>
      <c r="I350" s="2">
        <v>0</v>
      </c>
      <c r="J350" s="2">
        <f t="shared" si="5"/>
        <v>550000</v>
      </c>
      <c r="K350">
        <f>_xlfn.RANK.EQ(Data!J350,Data!J350:J849,1)</f>
        <v>146</v>
      </c>
    </row>
    <row r="351" spans="1:11" x14ac:dyDescent="0.25">
      <c r="A351" s="2">
        <v>1351</v>
      </c>
      <c r="B351" s="3">
        <v>46007</v>
      </c>
      <c r="C351" s="2" t="s">
        <v>14</v>
      </c>
      <c r="D351" s="2" t="s">
        <v>27</v>
      </c>
      <c r="E351" s="2" t="s">
        <v>16</v>
      </c>
      <c r="F351" s="2" t="s">
        <v>17</v>
      </c>
      <c r="G351" s="2">
        <v>14</v>
      </c>
      <c r="H351" s="2">
        <v>500</v>
      </c>
      <c r="I351" s="2">
        <v>0.05</v>
      </c>
      <c r="J351" s="2">
        <f t="shared" si="5"/>
        <v>6650</v>
      </c>
      <c r="K351">
        <f>_xlfn.RANK.EQ(Data!J351,Data!J351:J850,1)</f>
        <v>59</v>
      </c>
    </row>
    <row r="352" spans="1:11" x14ac:dyDescent="0.25">
      <c r="A352" s="2">
        <v>1352</v>
      </c>
      <c r="B352" s="3">
        <v>46008</v>
      </c>
      <c r="C352" s="2" t="s">
        <v>18</v>
      </c>
      <c r="D352" s="2" t="s">
        <v>29</v>
      </c>
      <c r="E352" s="2" t="s">
        <v>20</v>
      </c>
      <c r="F352" s="2" t="s">
        <v>21</v>
      </c>
      <c r="G352" s="2">
        <v>17</v>
      </c>
      <c r="H352" s="2">
        <v>1500</v>
      </c>
      <c r="I352" s="2">
        <v>0.1</v>
      </c>
      <c r="J352" s="2">
        <f t="shared" si="5"/>
        <v>22950</v>
      </c>
      <c r="K352">
        <f>_xlfn.RANK.EQ(Data!J352,Data!J352:J851,1)</f>
        <v>83</v>
      </c>
    </row>
    <row r="353" spans="1:11" x14ac:dyDescent="0.25">
      <c r="A353" s="2">
        <v>1353</v>
      </c>
      <c r="B353" s="3">
        <v>46009</v>
      </c>
      <c r="C353" s="2" t="s">
        <v>22</v>
      </c>
      <c r="D353" s="2" t="s">
        <v>31</v>
      </c>
      <c r="E353" s="2" t="s">
        <v>12</v>
      </c>
      <c r="F353" s="2" t="s">
        <v>24</v>
      </c>
      <c r="G353" s="2">
        <v>20</v>
      </c>
      <c r="H353" s="2">
        <v>12000</v>
      </c>
      <c r="I353" s="2">
        <v>0.15</v>
      </c>
      <c r="J353" s="2">
        <f t="shared" si="5"/>
        <v>204000</v>
      </c>
      <c r="K353">
        <f>_xlfn.RANK.EQ(Data!J353,Data!J353:J852,1)</f>
        <v>138</v>
      </c>
    </row>
    <row r="354" spans="1:11" x14ac:dyDescent="0.25">
      <c r="A354" s="2">
        <v>1354</v>
      </c>
      <c r="B354" s="3">
        <v>46010</v>
      </c>
      <c r="C354" s="2" t="s">
        <v>10</v>
      </c>
      <c r="D354" s="2" t="s">
        <v>11</v>
      </c>
      <c r="E354" s="2" t="s">
        <v>16</v>
      </c>
      <c r="F354" s="2" t="s">
        <v>26</v>
      </c>
      <c r="G354" s="2">
        <v>3</v>
      </c>
      <c r="H354" s="2">
        <v>4000</v>
      </c>
      <c r="I354" s="2">
        <v>0</v>
      </c>
      <c r="J354" s="2">
        <f t="shared" si="5"/>
        <v>12000</v>
      </c>
      <c r="K354">
        <f>_xlfn.RANK.EQ(Data!J354,Data!J354:J853,1)</f>
        <v>68</v>
      </c>
    </row>
    <row r="355" spans="1:11" x14ac:dyDescent="0.25">
      <c r="A355" s="2">
        <v>1355</v>
      </c>
      <c r="B355" s="3">
        <v>46011</v>
      </c>
      <c r="C355" s="2" t="s">
        <v>14</v>
      </c>
      <c r="D355" s="2" t="s">
        <v>15</v>
      </c>
      <c r="E355" s="2" t="s">
        <v>20</v>
      </c>
      <c r="F355" s="2" t="s">
        <v>28</v>
      </c>
      <c r="G355" s="2">
        <v>6</v>
      </c>
      <c r="H355" s="2">
        <v>8000</v>
      </c>
      <c r="I355" s="2">
        <v>0.05</v>
      </c>
      <c r="J355" s="2">
        <f t="shared" si="5"/>
        <v>45600</v>
      </c>
      <c r="K355">
        <f>_xlfn.RANK.EQ(Data!J355,Data!J355:J854,1)</f>
        <v>96</v>
      </c>
    </row>
    <row r="356" spans="1:11" x14ac:dyDescent="0.25">
      <c r="A356" s="2">
        <v>1356</v>
      </c>
      <c r="B356" s="3">
        <v>46012</v>
      </c>
      <c r="C356" s="2" t="s">
        <v>18</v>
      </c>
      <c r="D356" s="2" t="s">
        <v>19</v>
      </c>
      <c r="E356" s="2" t="s">
        <v>12</v>
      </c>
      <c r="F356" s="2" t="s">
        <v>30</v>
      </c>
      <c r="G356" s="2">
        <v>9</v>
      </c>
      <c r="H356" s="2">
        <v>10000</v>
      </c>
      <c r="I356" s="2">
        <v>0.1</v>
      </c>
      <c r="J356" s="2">
        <f t="shared" si="5"/>
        <v>81000</v>
      </c>
      <c r="K356">
        <f>_xlfn.RANK.EQ(Data!J356,Data!J356:J855,1)</f>
        <v>109</v>
      </c>
    </row>
    <row r="357" spans="1:11" x14ac:dyDescent="0.25">
      <c r="A357" s="2">
        <v>1357</v>
      </c>
      <c r="B357" s="3">
        <v>46013</v>
      </c>
      <c r="C357" s="2" t="s">
        <v>22</v>
      </c>
      <c r="D357" s="2" t="s">
        <v>23</v>
      </c>
      <c r="E357" s="2" t="s">
        <v>16</v>
      </c>
      <c r="F357" s="2" t="s">
        <v>32</v>
      </c>
      <c r="G357" s="2">
        <v>12</v>
      </c>
      <c r="H357" s="2">
        <v>6000</v>
      </c>
      <c r="I357" s="2">
        <v>0.15</v>
      </c>
      <c r="J357" s="2">
        <f t="shared" si="5"/>
        <v>61200</v>
      </c>
      <c r="K357">
        <f>_xlfn.RANK.EQ(Data!J357,Data!J357:J856,1)</f>
        <v>101</v>
      </c>
    </row>
    <row r="358" spans="1:11" x14ac:dyDescent="0.25">
      <c r="A358" s="2">
        <v>1358</v>
      </c>
      <c r="B358" s="3">
        <v>46014</v>
      </c>
      <c r="C358" s="2" t="s">
        <v>10</v>
      </c>
      <c r="D358" s="2" t="s">
        <v>25</v>
      </c>
      <c r="E358" s="2" t="s">
        <v>20</v>
      </c>
      <c r="F358" s="2" t="s">
        <v>33</v>
      </c>
      <c r="G358" s="2">
        <v>15</v>
      </c>
      <c r="H358" s="2">
        <v>20</v>
      </c>
      <c r="I358" s="2">
        <v>0</v>
      </c>
      <c r="J358" s="2">
        <f t="shared" si="5"/>
        <v>300</v>
      </c>
      <c r="K358">
        <f>_xlfn.RANK.EQ(Data!J358,Data!J358:J857,1)</f>
        <v>20</v>
      </c>
    </row>
    <row r="359" spans="1:11" x14ac:dyDescent="0.25">
      <c r="A359" s="2">
        <v>1359</v>
      </c>
      <c r="B359" s="3">
        <v>46015</v>
      </c>
      <c r="C359" s="2" t="s">
        <v>14</v>
      </c>
      <c r="D359" s="2" t="s">
        <v>27</v>
      </c>
      <c r="E359" s="2" t="s">
        <v>12</v>
      </c>
      <c r="F359" s="2" t="s">
        <v>34</v>
      </c>
      <c r="G359" s="2">
        <v>18</v>
      </c>
      <c r="H359" s="2">
        <v>100</v>
      </c>
      <c r="I359" s="2">
        <v>0.05</v>
      </c>
      <c r="J359" s="2">
        <f t="shared" si="5"/>
        <v>1710</v>
      </c>
      <c r="K359">
        <f>_xlfn.RANK.EQ(Data!J359,Data!J359:J858,1)</f>
        <v>49</v>
      </c>
    </row>
    <row r="360" spans="1:11" x14ac:dyDescent="0.25">
      <c r="A360" s="2">
        <v>1360</v>
      </c>
      <c r="B360" s="3">
        <v>46016</v>
      </c>
      <c r="C360" s="2" t="s">
        <v>18</v>
      </c>
      <c r="D360" s="2" t="s">
        <v>29</v>
      </c>
      <c r="E360" s="2" t="s">
        <v>16</v>
      </c>
      <c r="F360" s="2" t="s">
        <v>35</v>
      </c>
      <c r="G360" s="2">
        <v>1</v>
      </c>
      <c r="H360" s="2">
        <v>50</v>
      </c>
      <c r="I360" s="2">
        <v>0.1</v>
      </c>
      <c r="J360" s="2">
        <f t="shared" si="5"/>
        <v>45</v>
      </c>
      <c r="K360">
        <f>_xlfn.RANK.EQ(Data!J360,Data!J360:J859,1)</f>
        <v>1</v>
      </c>
    </row>
    <row r="361" spans="1:11" x14ac:dyDescent="0.25">
      <c r="A361" s="2">
        <v>1361</v>
      </c>
      <c r="B361" s="3">
        <v>46017</v>
      </c>
      <c r="C361" s="2" t="s">
        <v>22</v>
      </c>
      <c r="D361" s="2" t="s">
        <v>31</v>
      </c>
      <c r="E361" s="2" t="s">
        <v>20</v>
      </c>
      <c r="F361" s="2" t="s">
        <v>36</v>
      </c>
      <c r="G361" s="2">
        <v>4</v>
      </c>
      <c r="H361" s="2">
        <v>30</v>
      </c>
      <c r="I361" s="2">
        <v>0.15</v>
      </c>
      <c r="J361" s="2">
        <f t="shared" si="5"/>
        <v>102</v>
      </c>
      <c r="K361">
        <f>_xlfn.RANK.EQ(Data!J361,Data!J361:J860,1)</f>
        <v>5</v>
      </c>
    </row>
    <row r="362" spans="1:11" x14ac:dyDescent="0.25">
      <c r="A362" s="2">
        <v>1362</v>
      </c>
      <c r="B362" s="3">
        <v>46018</v>
      </c>
      <c r="C362" s="2" t="s">
        <v>10</v>
      </c>
      <c r="D362" s="2" t="s">
        <v>11</v>
      </c>
      <c r="E362" s="2" t="s">
        <v>12</v>
      </c>
      <c r="F362" s="2" t="s">
        <v>13</v>
      </c>
      <c r="G362" s="2">
        <v>7</v>
      </c>
      <c r="H362" s="2">
        <v>50000</v>
      </c>
      <c r="I362" s="2">
        <v>0</v>
      </c>
      <c r="J362" s="2">
        <f t="shared" si="5"/>
        <v>350000</v>
      </c>
      <c r="K362">
        <f>_xlfn.RANK.EQ(Data!J362,Data!J362:J861,1)</f>
        <v>132</v>
      </c>
    </row>
    <row r="363" spans="1:11" x14ac:dyDescent="0.25">
      <c r="A363" s="2">
        <v>1363</v>
      </c>
      <c r="B363" s="3">
        <v>46019</v>
      </c>
      <c r="C363" s="2" t="s">
        <v>14</v>
      </c>
      <c r="D363" s="2" t="s">
        <v>15</v>
      </c>
      <c r="E363" s="2" t="s">
        <v>16</v>
      </c>
      <c r="F363" s="2" t="s">
        <v>17</v>
      </c>
      <c r="G363" s="2">
        <v>10</v>
      </c>
      <c r="H363" s="2">
        <v>500</v>
      </c>
      <c r="I363" s="2">
        <v>0.05</v>
      </c>
      <c r="J363" s="2">
        <f t="shared" si="5"/>
        <v>4750</v>
      </c>
      <c r="K363">
        <f>_xlfn.RANK.EQ(Data!J363,Data!J363:J862,1)</f>
        <v>52</v>
      </c>
    </row>
    <row r="364" spans="1:11" x14ac:dyDescent="0.25">
      <c r="A364" s="2">
        <v>1364</v>
      </c>
      <c r="B364" s="3">
        <v>46020</v>
      </c>
      <c r="C364" s="2" t="s">
        <v>18</v>
      </c>
      <c r="D364" s="2" t="s">
        <v>19</v>
      </c>
      <c r="E364" s="2" t="s">
        <v>20</v>
      </c>
      <c r="F364" s="2" t="s">
        <v>21</v>
      </c>
      <c r="G364" s="2">
        <v>13</v>
      </c>
      <c r="H364" s="2">
        <v>1500</v>
      </c>
      <c r="I364" s="2">
        <v>0.1</v>
      </c>
      <c r="J364" s="2">
        <f t="shared" si="5"/>
        <v>17550</v>
      </c>
      <c r="K364">
        <f>_xlfn.RANK.EQ(Data!J364,Data!J364:J863,1)</f>
        <v>71</v>
      </c>
    </row>
    <row r="365" spans="1:11" x14ac:dyDescent="0.25">
      <c r="A365" s="2">
        <v>1365</v>
      </c>
      <c r="B365" s="3">
        <v>46021</v>
      </c>
      <c r="C365" s="2" t="s">
        <v>22</v>
      </c>
      <c r="D365" s="2" t="s">
        <v>23</v>
      </c>
      <c r="E365" s="2" t="s">
        <v>12</v>
      </c>
      <c r="F365" s="2" t="s">
        <v>24</v>
      </c>
      <c r="G365" s="2">
        <v>16</v>
      </c>
      <c r="H365" s="2">
        <v>12000</v>
      </c>
      <c r="I365" s="2">
        <v>0.15</v>
      </c>
      <c r="J365" s="2">
        <f t="shared" si="5"/>
        <v>163200</v>
      </c>
      <c r="K365">
        <f>_xlfn.RANK.EQ(Data!J365,Data!J365:J864,1)</f>
        <v>125</v>
      </c>
    </row>
    <row r="366" spans="1:11" x14ac:dyDescent="0.25">
      <c r="A366" s="2">
        <v>1366</v>
      </c>
      <c r="B366" s="3">
        <v>46022</v>
      </c>
      <c r="C366" s="2" t="s">
        <v>10</v>
      </c>
      <c r="D366" s="2" t="s">
        <v>25</v>
      </c>
      <c r="E366" s="2" t="s">
        <v>16</v>
      </c>
      <c r="F366" s="2" t="s">
        <v>26</v>
      </c>
      <c r="G366" s="2">
        <v>19</v>
      </c>
      <c r="H366" s="2">
        <v>4000</v>
      </c>
      <c r="I366" s="2">
        <v>0</v>
      </c>
      <c r="J366" s="2">
        <f t="shared" si="5"/>
        <v>76000</v>
      </c>
      <c r="K366">
        <f>_xlfn.RANK.EQ(Data!J366,Data!J366:J865,1)</f>
        <v>97</v>
      </c>
    </row>
    <row r="367" spans="1:11" x14ac:dyDescent="0.25">
      <c r="A367" s="2">
        <v>1367</v>
      </c>
      <c r="B367" s="3">
        <v>45658</v>
      </c>
      <c r="C367" s="2" t="s">
        <v>14</v>
      </c>
      <c r="D367" s="2" t="s">
        <v>27</v>
      </c>
      <c r="E367" s="2" t="s">
        <v>20</v>
      </c>
      <c r="F367" s="2" t="s">
        <v>28</v>
      </c>
      <c r="G367" s="2">
        <v>2</v>
      </c>
      <c r="H367" s="2">
        <v>8000</v>
      </c>
      <c r="I367" s="2">
        <v>0.05</v>
      </c>
      <c r="J367" s="2">
        <f t="shared" si="5"/>
        <v>15200</v>
      </c>
      <c r="K367">
        <f>_xlfn.RANK.EQ(Data!J367,Data!J367:J866,1)</f>
        <v>68</v>
      </c>
    </row>
    <row r="368" spans="1:11" x14ac:dyDescent="0.25">
      <c r="A368" s="2">
        <v>1368</v>
      </c>
      <c r="B368" s="3">
        <v>45659</v>
      </c>
      <c r="C368" s="2" t="s">
        <v>18</v>
      </c>
      <c r="D368" s="2" t="s">
        <v>29</v>
      </c>
      <c r="E368" s="2" t="s">
        <v>12</v>
      </c>
      <c r="F368" s="2" t="s">
        <v>30</v>
      </c>
      <c r="G368" s="2">
        <v>5</v>
      </c>
      <c r="H368" s="2">
        <v>10000</v>
      </c>
      <c r="I368" s="2">
        <v>0.1</v>
      </c>
      <c r="J368" s="2">
        <f t="shared" si="5"/>
        <v>45000</v>
      </c>
      <c r="K368">
        <f>_xlfn.RANK.EQ(Data!J368,Data!J368:J867,1)</f>
        <v>86</v>
      </c>
    </row>
    <row r="369" spans="1:11" x14ac:dyDescent="0.25">
      <c r="A369" s="2">
        <v>1369</v>
      </c>
      <c r="B369" s="3">
        <v>45660</v>
      </c>
      <c r="C369" s="2" t="s">
        <v>22</v>
      </c>
      <c r="D369" s="2" t="s">
        <v>31</v>
      </c>
      <c r="E369" s="2" t="s">
        <v>16</v>
      </c>
      <c r="F369" s="2" t="s">
        <v>32</v>
      </c>
      <c r="G369" s="2">
        <v>8</v>
      </c>
      <c r="H369" s="2">
        <v>6000</v>
      </c>
      <c r="I369" s="2">
        <v>0.15</v>
      </c>
      <c r="J369" s="2">
        <f t="shared" si="5"/>
        <v>40800</v>
      </c>
      <c r="K369">
        <f>_xlfn.RANK.EQ(Data!J369,Data!J369:J868,1)</f>
        <v>79</v>
      </c>
    </row>
    <row r="370" spans="1:11" x14ac:dyDescent="0.25">
      <c r="A370" s="2">
        <v>1370</v>
      </c>
      <c r="B370" s="3">
        <v>45661</v>
      </c>
      <c r="C370" s="2" t="s">
        <v>10</v>
      </c>
      <c r="D370" s="2" t="s">
        <v>11</v>
      </c>
      <c r="E370" s="2" t="s">
        <v>20</v>
      </c>
      <c r="F370" s="2" t="s">
        <v>33</v>
      </c>
      <c r="G370" s="2">
        <v>11</v>
      </c>
      <c r="H370" s="2">
        <v>20</v>
      </c>
      <c r="I370" s="2">
        <v>0</v>
      </c>
      <c r="J370" s="2">
        <f t="shared" si="5"/>
        <v>220</v>
      </c>
      <c r="K370">
        <f>_xlfn.RANK.EQ(Data!J370,Data!J370:J869,1)</f>
        <v>13</v>
      </c>
    </row>
    <row r="371" spans="1:11" x14ac:dyDescent="0.25">
      <c r="A371" s="2">
        <v>1371</v>
      </c>
      <c r="B371" s="3">
        <v>45662</v>
      </c>
      <c r="C371" s="2" t="s">
        <v>14</v>
      </c>
      <c r="D371" s="2" t="s">
        <v>15</v>
      </c>
      <c r="E371" s="2" t="s">
        <v>12</v>
      </c>
      <c r="F371" s="2" t="s">
        <v>34</v>
      </c>
      <c r="G371" s="2">
        <v>14</v>
      </c>
      <c r="H371" s="2">
        <v>100</v>
      </c>
      <c r="I371" s="2">
        <v>0.05</v>
      </c>
      <c r="J371" s="2">
        <f t="shared" si="5"/>
        <v>1330</v>
      </c>
      <c r="K371">
        <f>_xlfn.RANK.EQ(Data!J371,Data!J371:J870,1)</f>
        <v>41</v>
      </c>
    </row>
    <row r="372" spans="1:11" x14ac:dyDescent="0.25">
      <c r="A372" s="2">
        <v>1372</v>
      </c>
      <c r="B372" s="3">
        <v>45663</v>
      </c>
      <c r="C372" s="2" t="s">
        <v>18</v>
      </c>
      <c r="D372" s="2" t="s">
        <v>19</v>
      </c>
      <c r="E372" s="2" t="s">
        <v>16</v>
      </c>
      <c r="F372" s="2" t="s">
        <v>35</v>
      </c>
      <c r="G372" s="2">
        <v>17</v>
      </c>
      <c r="H372" s="2">
        <v>50</v>
      </c>
      <c r="I372" s="2">
        <v>0.1</v>
      </c>
      <c r="J372" s="2">
        <f t="shared" si="5"/>
        <v>765</v>
      </c>
      <c r="K372">
        <f>_xlfn.RANK.EQ(Data!J372,Data!J372:J871,1)</f>
        <v>34</v>
      </c>
    </row>
    <row r="373" spans="1:11" x14ac:dyDescent="0.25">
      <c r="A373" s="2">
        <v>1373</v>
      </c>
      <c r="B373" s="3">
        <v>45664</v>
      </c>
      <c r="C373" s="2" t="s">
        <v>22</v>
      </c>
      <c r="D373" s="2" t="s">
        <v>23</v>
      </c>
      <c r="E373" s="2" t="s">
        <v>20</v>
      </c>
      <c r="F373" s="2" t="s">
        <v>36</v>
      </c>
      <c r="G373" s="2">
        <v>20</v>
      </c>
      <c r="H373" s="2">
        <v>30</v>
      </c>
      <c r="I373" s="2">
        <v>0.15</v>
      </c>
      <c r="J373" s="2">
        <f t="shared" si="5"/>
        <v>510</v>
      </c>
      <c r="K373">
        <f>_xlfn.RANK.EQ(Data!J373,Data!J373:J872,1)</f>
        <v>27</v>
      </c>
    </row>
    <row r="374" spans="1:11" x14ac:dyDescent="0.25">
      <c r="A374" s="2">
        <v>1374</v>
      </c>
      <c r="B374" s="3">
        <v>45665</v>
      </c>
      <c r="C374" s="2" t="s">
        <v>10</v>
      </c>
      <c r="D374" s="2" t="s">
        <v>25</v>
      </c>
      <c r="E374" s="2" t="s">
        <v>12</v>
      </c>
      <c r="F374" s="2" t="s">
        <v>13</v>
      </c>
      <c r="G374" s="2">
        <v>3</v>
      </c>
      <c r="H374" s="2">
        <v>50000</v>
      </c>
      <c r="I374" s="2">
        <v>0</v>
      </c>
      <c r="J374" s="2">
        <f t="shared" si="5"/>
        <v>150000</v>
      </c>
      <c r="K374">
        <f>_xlfn.RANK.EQ(Data!J374,Data!J374:J873,1)</f>
        <v>112</v>
      </c>
    </row>
    <row r="375" spans="1:11" x14ac:dyDescent="0.25">
      <c r="A375" s="2">
        <v>1375</v>
      </c>
      <c r="B375" s="3">
        <v>45666</v>
      </c>
      <c r="C375" s="2" t="s">
        <v>14</v>
      </c>
      <c r="D375" s="2" t="s">
        <v>27</v>
      </c>
      <c r="E375" s="2" t="s">
        <v>16</v>
      </c>
      <c r="F375" s="2" t="s">
        <v>17</v>
      </c>
      <c r="G375" s="2">
        <v>6</v>
      </c>
      <c r="H375" s="2">
        <v>500</v>
      </c>
      <c r="I375" s="2">
        <v>0.05</v>
      </c>
      <c r="J375" s="2">
        <f t="shared" si="5"/>
        <v>2850</v>
      </c>
      <c r="K375">
        <f>_xlfn.RANK.EQ(Data!J375,Data!J375:J874,1)</f>
        <v>45</v>
      </c>
    </row>
    <row r="376" spans="1:11" x14ac:dyDescent="0.25">
      <c r="A376" s="2">
        <v>1376</v>
      </c>
      <c r="B376" s="3">
        <v>45667</v>
      </c>
      <c r="C376" s="2" t="s">
        <v>18</v>
      </c>
      <c r="D376" s="2" t="s">
        <v>29</v>
      </c>
      <c r="E376" s="2" t="s">
        <v>20</v>
      </c>
      <c r="F376" s="2" t="s">
        <v>21</v>
      </c>
      <c r="G376" s="2">
        <v>9</v>
      </c>
      <c r="H376" s="2">
        <v>1500</v>
      </c>
      <c r="I376" s="2">
        <v>0.1</v>
      </c>
      <c r="J376" s="2">
        <f t="shared" si="5"/>
        <v>12150</v>
      </c>
      <c r="K376">
        <f>_xlfn.RANK.EQ(Data!J376,Data!J376:J875,1)</f>
        <v>60</v>
      </c>
    </row>
    <row r="377" spans="1:11" x14ac:dyDescent="0.25">
      <c r="A377" s="2">
        <v>1377</v>
      </c>
      <c r="B377" s="3">
        <v>45668</v>
      </c>
      <c r="C377" s="2" t="s">
        <v>22</v>
      </c>
      <c r="D377" s="2" t="s">
        <v>31</v>
      </c>
      <c r="E377" s="2" t="s">
        <v>12</v>
      </c>
      <c r="F377" s="2" t="s">
        <v>24</v>
      </c>
      <c r="G377" s="2">
        <v>12</v>
      </c>
      <c r="H377" s="2">
        <v>12000</v>
      </c>
      <c r="I377" s="2">
        <v>0.15</v>
      </c>
      <c r="J377" s="2">
        <f t="shared" si="5"/>
        <v>122400</v>
      </c>
      <c r="K377">
        <f>_xlfn.RANK.EQ(Data!J377,Data!J377:J876,1)</f>
        <v>104</v>
      </c>
    </row>
    <row r="378" spans="1:11" x14ac:dyDescent="0.25">
      <c r="A378" s="2">
        <v>1378</v>
      </c>
      <c r="B378" s="3">
        <v>45669</v>
      </c>
      <c r="C378" s="2" t="s">
        <v>10</v>
      </c>
      <c r="D378" s="2" t="s">
        <v>11</v>
      </c>
      <c r="E378" s="2" t="s">
        <v>16</v>
      </c>
      <c r="F378" s="2" t="s">
        <v>26</v>
      </c>
      <c r="G378" s="2">
        <v>15</v>
      </c>
      <c r="H378" s="2">
        <v>4000</v>
      </c>
      <c r="I378" s="2">
        <v>0</v>
      </c>
      <c r="J378" s="2">
        <f t="shared" si="5"/>
        <v>60000</v>
      </c>
      <c r="K378">
        <f>_xlfn.RANK.EQ(Data!J378,Data!J378:J877,1)</f>
        <v>83</v>
      </c>
    </row>
    <row r="379" spans="1:11" x14ac:dyDescent="0.25">
      <c r="A379" s="2">
        <v>1379</v>
      </c>
      <c r="B379" s="3">
        <v>45670</v>
      </c>
      <c r="C379" s="2" t="s">
        <v>14</v>
      </c>
      <c r="D379" s="2" t="s">
        <v>15</v>
      </c>
      <c r="E379" s="2" t="s">
        <v>20</v>
      </c>
      <c r="F379" s="2" t="s">
        <v>28</v>
      </c>
      <c r="G379" s="2">
        <v>18</v>
      </c>
      <c r="H379" s="2">
        <v>8000</v>
      </c>
      <c r="I379" s="2">
        <v>0.05</v>
      </c>
      <c r="J379" s="2">
        <f t="shared" si="5"/>
        <v>136800</v>
      </c>
      <c r="K379">
        <f>_xlfn.RANK.EQ(Data!J379,Data!J379:J878,1)</f>
        <v>105</v>
      </c>
    </row>
    <row r="380" spans="1:11" x14ac:dyDescent="0.25">
      <c r="A380" s="2">
        <v>1380</v>
      </c>
      <c r="B380" s="3">
        <v>45671</v>
      </c>
      <c r="C380" s="2" t="s">
        <v>18</v>
      </c>
      <c r="D380" s="2" t="s">
        <v>19</v>
      </c>
      <c r="E380" s="2" t="s">
        <v>12</v>
      </c>
      <c r="F380" s="2" t="s">
        <v>30</v>
      </c>
      <c r="G380" s="2">
        <v>1</v>
      </c>
      <c r="H380" s="2">
        <v>10000</v>
      </c>
      <c r="I380" s="2">
        <v>0.1</v>
      </c>
      <c r="J380" s="2">
        <f t="shared" si="5"/>
        <v>9000</v>
      </c>
      <c r="K380">
        <f>_xlfn.RANK.EQ(Data!J380,Data!J380:J879,1)</f>
        <v>55</v>
      </c>
    </row>
    <row r="381" spans="1:11" x14ac:dyDescent="0.25">
      <c r="A381" s="2">
        <v>1381</v>
      </c>
      <c r="B381" s="3">
        <v>45672</v>
      </c>
      <c r="C381" s="2" t="s">
        <v>22</v>
      </c>
      <c r="D381" s="2" t="s">
        <v>23</v>
      </c>
      <c r="E381" s="2" t="s">
        <v>16</v>
      </c>
      <c r="F381" s="2" t="s">
        <v>32</v>
      </c>
      <c r="G381" s="2">
        <v>4</v>
      </c>
      <c r="H381" s="2">
        <v>6000</v>
      </c>
      <c r="I381" s="2">
        <v>0.15</v>
      </c>
      <c r="J381" s="2">
        <f t="shared" si="5"/>
        <v>20400</v>
      </c>
      <c r="K381">
        <f>_xlfn.RANK.EQ(Data!J381,Data!J381:J880,1)</f>
        <v>65</v>
      </c>
    </row>
    <row r="382" spans="1:11" x14ac:dyDescent="0.25">
      <c r="A382" s="2">
        <v>1382</v>
      </c>
      <c r="B382" s="3">
        <v>45673</v>
      </c>
      <c r="C382" s="2" t="s">
        <v>10</v>
      </c>
      <c r="D382" s="2" t="s">
        <v>25</v>
      </c>
      <c r="E382" s="2" t="s">
        <v>20</v>
      </c>
      <c r="F382" s="2" t="s">
        <v>33</v>
      </c>
      <c r="G382" s="2">
        <v>7</v>
      </c>
      <c r="H382" s="2">
        <v>20</v>
      </c>
      <c r="I382" s="2">
        <v>0</v>
      </c>
      <c r="J382" s="2">
        <f t="shared" si="5"/>
        <v>140</v>
      </c>
      <c r="K382">
        <f>_xlfn.RANK.EQ(Data!J382,Data!J382:J881,1)</f>
        <v>7</v>
      </c>
    </row>
    <row r="383" spans="1:11" x14ac:dyDescent="0.25">
      <c r="A383" s="2">
        <v>1383</v>
      </c>
      <c r="B383" s="3">
        <v>45674</v>
      </c>
      <c r="C383" s="2" t="s">
        <v>14</v>
      </c>
      <c r="D383" s="2" t="s">
        <v>27</v>
      </c>
      <c r="E383" s="2" t="s">
        <v>12</v>
      </c>
      <c r="F383" s="2" t="s">
        <v>34</v>
      </c>
      <c r="G383" s="2">
        <v>10</v>
      </c>
      <c r="H383" s="2">
        <v>100</v>
      </c>
      <c r="I383" s="2">
        <v>0.05</v>
      </c>
      <c r="J383" s="2">
        <f t="shared" si="5"/>
        <v>950</v>
      </c>
      <c r="K383">
        <f>_xlfn.RANK.EQ(Data!J383,Data!J383:J882,1)</f>
        <v>34</v>
      </c>
    </row>
    <row r="384" spans="1:11" x14ac:dyDescent="0.25">
      <c r="A384" s="2">
        <v>1384</v>
      </c>
      <c r="B384" s="3">
        <v>45675</v>
      </c>
      <c r="C384" s="2" t="s">
        <v>18</v>
      </c>
      <c r="D384" s="2" t="s">
        <v>29</v>
      </c>
      <c r="E384" s="2" t="s">
        <v>16</v>
      </c>
      <c r="F384" s="2" t="s">
        <v>35</v>
      </c>
      <c r="G384" s="2">
        <v>13</v>
      </c>
      <c r="H384" s="2">
        <v>50</v>
      </c>
      <c r="I384" s="2">
        <v>0.1</v>
      </c>
      <c r="J384" s="2">
        <f t="shared" si="5"/>
        <v>585</v>
      </c>
      <c r="K384">
        <f>_xlfn.RANK.EQ(Data!J384,Data!J384:J883,1)</f>
        <v>30</v>
      </c>
    </row>
    <row r="385" spans="1:11" x14ac:dyDescent="0.25">
      <c r="A385" s="2">
        <v>1385</v>
      </c>
      <c r="B385" s="3">
        <v>45676</v>
      </c>
      <c r="C385" s="2" t="s">
        <v>22</v>
      </c>
      <c r="D385" s="2" t="s">
        <v>31</v>
      </c>
      <c r="E385" s="2" t="s">
        <v>20</v>
      </c>
      <c r="F385" s="2" t="s">
        <v>36</v>
      </c>
      <c r="G385" s="2">
        <v>16</v>
      </c>
      <c r="H385" s="2">
        <v>30</v>
      </c>
      <c r="I385" s="2">
        <v>0.15</v>
      </c>
      <c r="J385" s="2">
        <f t="shared" si="5"/>
        <v>408</v>
      </c>
      <c r="K385">
        <f>_xlfn.RANK.EQ(Data!J385,Data!J385:J884,1)</f>
        <v>24</v>
      </c>
    </row>
    <row r="386" spans="1:11" x14ac:dyDescent="0.25">
      <c r="A386" s="2">
        <v>1386</v>
      </c>
      <c r="B386" s="3">
        <v>45677</v>
      </c>
      <c r="C386" s="2" t="s">
        <v>10</v>
      </c>
      <c r="D386" s="2" t="s">
        <v>11</v>
      </c>
      <c r="E386" s="2" t="s">
        <v>12</v>
      </c>
      <c r="F386" s="2" t="s">
        <v>13</v>
      </c>
      <c r="G386" s="2">
        <v>19</v>
      </c>
      <c r="H386" s="2">
        <v>50000</v>
      </c>
      <c r="I386" s="2">
        <v>0</v>
      </c>
      <c r="J386" s="2">
        <f t="shared" ref="J386:J449" si="6">G386*H386*(1-I386)</f>
        <v>950000</v>
      </c>
      <c r="K386">
        <f>_xlfn.RANK.EQ(Data!J386,Data!J386:J885,1)</f>
        <v>115</v>
      </c>
    </row>
    <row r="387" spans="1:11" x14ac:dyDescent="0.25">
      <c r="A387" s="2">
        <v>1387</v>
      </c>
      <c r="B387" s="3">
        <v>45678</v>
      </c>
      <c r="C387" s="2" t="s">
        <v>14</v>
      </c>
      <c r="D387" s="2" t="s">
        <v>15</v>
      </c>
      <c r="E387" s="2" t="s">
        <v>16</v>
      </c>
      <c r="F387" s="2" t="s">
        <v>17</v>
      </c>
      <c r="G387" s="2">
        <v>2</v>
      </c>
      <c r="H387" s="2">
        <v>500</v>
      </c>
      <c r="I387" s="2">
        <v>0.05</v>
      </c>
      <c r="J387" s="2">
        <f t="shared" si="6"/>
        <v>950</v>
      </c>
      <c r="K387">
        <f>_xlfn.RANK.EQ(Data!J387,Data!J387:J886,1)</f>
        <v>32</v>
      </c>
    </row>
    <row r="388" spans="1:11" x14ac:dyDescent="0.25">
      <c r="A388" s="2">
        <v>1388</v>
      </c>
      <c r="B388" s="3">
        <v>45679</v>
      </c>
      <c r="C388" s="2" t="s">
        <v>18</v>
      </c>
      <c r="D388" s="2" t="s">
        <v>19</v>
      </c>
      <c r="E388" s="2" t="s">
        <v>20</v>
      </c>
      <c r="F388" s="2" t="s">
        <v>21</v>
      </c>
      <c r="G388" s="2">
        <v>5</v>
      </c>
      <c r="H388" s="2">
        <v>1500</v>
      </c>
      <c r="I388" s="2">
        <v>0.1</v>
      </c>
      <c r="J388" s="2">
        <f t="shared" si="6"/>
        <v>6750</v>
      </c>
      <c r="K388">
        <f>_xlfn.RANK.EQ(Data!J388,Data!J388:J887,1)</f>
        <v>46</v>
      </c>
    </row>
    <row r="389" spans="1:11" x14ac:dyDescent="0.25">
      <c r="A389" s="2">
        <v>1389</v>
      </c>
      <c r="B389" s="3">
        <v>45680</v>
      </c>
      <c r="C389" s="2" t="s">
        <v>22</v>
      </c>
      <c r="D389" s="2" t="s">
        <v>23</v>
      </c>
      <c r="E389" s="2" t="s">
        <v>12</v>
      </c>
      <c r="F389" s="2" t="s">
        <v>24</v>
      </c>
      <c r="G389" s="2">
        <v>8</v>
      </c>
      <c r="H389" s="2">
        <v>12000</v>
      </c>
      <c r="I389" s="2">
        <v>0.15</v>
      </c>
      <c r="J389" s="2">
        <f t="shared" si="6"/>
        <v>81600</v>
      </c>
      <c r="K389">
        <f>_xlfn.RANK.EQ(Data!J389,Data!J389:J888,1)</f>
        <v>85</v>
      </c>
    </row>
    <row r="390" spans="1:11" x14ac:dyDescent="0.25">
      <c r="A390" s="2">
        <v>1390</v>
      </c>
      <c r="B390" s="3">
        <v>45681</v>
      </c>
      <c r="C390" s="2" t="s">
        <v>10</v>
      </c>
      <c r="D390" s="2" t="s">
        <v>25</v>
      </c>
      <c r="E390" s="2" t="s">
        <v>16</v>
      </c>
      <c r="F390" s="2" t="s">
        <v>26</v>
      </c>
      <c r="G390" s="2">
        <v>11</v>
      </c>
      <c r="H390" s="2">
        <v>4000</v>
      </c>
      <c r="I390" s="2">
        <v>0</v>
      </c>
      <c r="J390" s="2">
        <f t="shared" si="6"/>
        <v>44000</v>
      </c>
      <c r="K390">
        <f>_xlfn.RANK.EQ(Data!J390,Data!J390:J889,1)</f>
        <v>69</v>
      </c>
    </row>
    <row r="391" spans="1:11" x14ac:dyDescent="0.25">
      <c r="A391" s="2">
        <v>1391</v>
      </c>
      <c r="B391" s="3">
        <v>45682</v>
      </c>
      <c r="C391" s="2" t="s">
        <v>14</v>
      </c>
      <c r="D391" s="2" t="s">
        <v>27</v>
      </c>
      <c r="E391" s="2" t="s">
        <v>20</v>
      </c>
      <c r="F391" s="2" t="s">
        <v>28</v>
      </c>
      <c r="G391" s="2">
        <v>14</v>
      </c>
      <c r="H391" s="2">
        <v>8000</v>
      </c>
      <c r="I391" s="2">
        <v>0.05</v>
      </c>
      <c r="J391" s="2">
        <f t="shared" si="6"/>
        <v>106400</v>
      </c>
      <c r="K391">
        <f>_xlfn.RANK.EQ(Data!J391,Data!J391:J890,1)</f>
        <v>89</v>
      </c>
    </row>
    <row r="392" spans="1:11" x14ac:dyDescent="0.25">
      <c r="A392" s="2">
        <v>1392</v>
      </c>
      <c r="B392" s="3">
        <v>45683</v>
      </c>
      <c r="C392" s="2" t="s">
        <v>18</v>
      </c>
      <c r="D392" s="2" t="s">
        <v>29</v>
      </c>
      <c r="E392" s="2" t="s">
        <v>12</v>
      </c>
      <c r="F392" s="2" t="s">
        <v>30</v>
      </c>
      <c r="G392" s="2">
        <v>17</v>
      </c>
      <c r="H392" s="2">
        <v>10000</v>
      </c>
      <c r="I392" s="2">
        <v>0.1</v>
      </c>
      <c r="J392" s="2">
        <f t="shared" si="6"/>
        <v>153000</v>
      </c>
      <c r="K392">
        <f>_xlfn.RANK.EQ(Data!J392,Data!J392:J891,1)</f>
        <v>98</v>
      </c>
    </row>
    <row r="393" spans="1:11" x14ac:dyDescent="0.25">
      <c r="A393" s="2">
        <v>1393</v>
      </c>
      <c r="B393" s="3">
        <v>45684</v>
      </c>
      <c r="C393" s="2" t="s">
        <v>22</v>
      </c>
      <c r="D393" s="2" t="s">
        <v>31</v>
      </c>
      <c r="E393" s="2" t="s">
        <v>16</v>
      </c>
      <c r="F393" s="2" t="s">
        <v>32</v>
      </c>
      <c r="G393" s="2">
        <v>20</v>
      </c>
      <c r="H393" s="2">
        <v>6000</v>
      </c>
      <c r="I393" s="2">
        <v>0.15</v>
      </c>
      <c r="J393" s="2">
        <f t="shared" si="6"/>
        <v>102000</v>
      </c>
      <c r="K393">
        <f>_xlfn.RANK.EQ(Data!J393,Data!J393:J892,1)</f>
        <v>87</v>
      </c>
    </row>
    <row r="394" spans="1:11" x14ac:dyDescent="0.25">
      <c r="A394" s="2">
        <v>1394</v>
      </c>
      <c r="B394" s="3">
        <v>45685</v>
      </c>
      <c r="C394" s="2" t="s">
        <v>10</v>
      </c>
      <c r="D394" s="2" t="s">
        <v>11</v>
      </c>
      <c r="E394" s="2" t="s">
        <v>20</v>
      </c>
      <c r="F394" s="2" t="s">
        <v>33</v>
      </c>
      <c r="G394" s="2">
        <v>3</v>
      </c>
      <c r="H394" s="2">
        <v>20</v>
      </c>
      <c r="I394" s="2">
        <v>0</v>
      </c>
      <c r="J394" s="2">
        <f t="shared" si="6"/>
        <v>60</v>
      </c>
      <c r="K394">
        <f>_xlfn.RANK.EQ(Data!J394,Data!J394:J893,1)</f>
        <v>3</v>
      </c>
    </row>
    <row r="395" spans="1:11" x14ac:dyDescent="0.25">
      <c r="A395" s="2">
        <v>1395</v>
      </c>
      <c r="B395" s="3">
        <v>45686</v>
      </c>
      <c r="C395" s="2" t="s">
        <v>14</v>
      </c>
      <c r="D395" s="2" t="s">
        <v>15</v>
      </c>
      <c r="E395" s="2" t="s">
        <v>12</v>
      </c>
      <c r="F395" s="2" t="s">
        <v>34</v>
      </c>
      <c r="G395" s="2">
        <v>6</v>
      </c>
      <c r="H395" s="2">
        <v>100</v>
      </c>
      <c r="I395" s="2">
        <v>0.05</v>
      </c>
      <c r="J395" s="2">
        <f t="shared" si="6"/>
        <v>570</v>
      </c>
      <c r="K395">
        <f>_xlfn.RANK.EQ(Data!J395,Data!J395:J894,1)</f>
        <v>26</v>
      </c>
    </row>
    <row r="396" spans="1:11" x14ac:dyDescent="0.25">
      <c r="A396" s="2">
        <v>1396</v>
      </c>
      <c r="B396" s="3">
        <v>45687</v>
      </c>
      <c r="C396" s="2" t="s">
        <v>18</v>
      </c>
      <c r="D396" s="2" t="s">
        <v>19</v>
      </c>
      <c r="E396" s="2" t="s">
        <v>16</v>
      </c>
      <c r="F396" s="2" t="s">
        <v>35</v>
      </c>
      <c r="G396" s="2">
        <v>9</v>
      </c>
      <c r="H396" s="2">
        <v>50</v>
      </c>
      <c r="I396" s="2">
        <v>0.1</v>
      </c>
      <c r="J396" s="2">
        <f t="shared" si="6"/>
        <v>405</v>
      </c>
      <c r="K396">
        <f>_xlfn.RANK.EQ(Data!J396,Data!J396:J895,1)</f>
        <v>21</v>
      </c>
    </row>
    <row r="397" spans="1:11" x14ac:dyDescent="0.25">
      <c r="A397" s="2">
        <v>1397</v>
      </c>
      <c r="B397" s="3">
        <v>45688</v>
      </c>
      <c r="C397" s="2" t="s">
        <v>22</v>
      </c>
      <c r="D397" s="2" t="s">
        <v>23</v>
      </c>
      <c r="E397" s="2" t="s">
        <v>20</v>
      </c>
      <c r="F397" s="2" t="s">
        <v>36</v>
      </c>
      <c r="G397" s="2">
        <v>12</v>
      </c>
      <c r="H397" s="2">
        <v>30</v>
      </c>
      <c r="I397" s="2">
        <v>0.15</v>
      </c>
      <c r="J397" s="2">
        <f t="shared" si="6"/>
        <v>306</v>
      </c>
      <c r="K397">
        <f>_xlfn.RANK.EQ(Data!J397,Data!J397:J896,1)</f>
        <v>17</v>
      </c>
    </row>
    <row r="398" spans="1:11" x14ac:dyDescent="0.25">
      <c r="A398" s="2">
        <v>1398</v>
      </c>
      <c r="B398" s="3">
        <v>45689</v>
      </c>
      <c r="C398" s="2" t="s">
        <v>10</v>
      </c>
      <c r="D398" s="2" t="s">
        <v>25</v>
      </c>
      <c r="E398" s="2" t="s">
        <v>12</v>
      </c>
      <c r="F398" s="2" t="s">
        <v>13</v>
      </c>
      <c r="G398" s="2">
        <v>15</v>
      </c>
      <c r="H398" s="2">
        <v>50000</v>
      </c>
      <c r="I398" s="2">
        <v>0</v>
      </c>
      <c r="J398" s="2">
        <f t="shared" si="6"/>
        <v>750000</v>
      </c>
      <c r="K398">
        <f>_xlfn.RANK.EQ(Data!J398,Data!J398:J897,1)</f>
        <v>102</v>
      </c>
    </row>
    <row r="399" spans="1:11" x14ac:dyDescent="0.25">
      <c r="A399" s="2">
        <v>1399</v>
      </c>
      <c r="B399" s="3">
        <v>45690</v>
      </c>
      <c r="C399" s="2" t="s">
        <v>14</v>
      </c>
      <c r="D399" s="2" t="s">
        <v>27</v>
      </c>
      <c r="E399" s="2" t="s">
        <v>16</v>
      </c>
      <c r="F399" s="2" t="s">
        <v>17</v>
      </c>
      <c r="G399" s="2">
        <v>18</v>
      </c>
      <c r="H399" s="2">
        <v>500</v>
      </c>
      <c r="I399" s="2">
        <v>0.05</v>
      </c>
      <c r="J399" s="2">
        <f t="shared" si="6"/>
        <v>8550</v>
      </c>
      <c r="K399">
        <f>_xlfn.RANK.EQ(Data!J399,Data!J399:J898,1)</f>
        <v>43</v>
      </c>
    </row>
    <row r="400" spans="1:11" x14ac:dyDescent="0.25">
      <c r="A400" s="2">
        <v>1400</v>
      </c>
      <c r="B400" s="3">
        <v>45691</v>
      </c>
      <c r="C400" s="2" t="s">
        <v>18</v>
      </c>
      <c r="D400" s="2" t="s">
        <v>29</v>
      </c>
      <c r="E400" s="2" t="s">
        <v>20</v>
      </c>
      <c r="F400" s="2" t="s">
        <v>21</v>
      </c>
      <c r="G400" s="2">
        <v>1</v>
      </c>
      <c r="H400" s="2">
        <v>1500</v>
      </c>
      <c r="I400" s="2">
        <v>0.1</v>
      </c>
      <c r="J400" s="2">
        <f t="shared" si="6"/>
        <v>1350</v>
      </c>
      <c r="K400">
        <f>_xlfn.RANK.EQ(Data!J400,Data!J400:J899,1)</f>
        <v>32</v>
      </c>
    </row>
    <row r="401" spans="1:11" x14ac:dyDescent="0.25">
      <c r="A401" s="2">
        <v>1401</v>
      </c>
      <c r="B401" s="3">
        <v>45692</v>
      </c>
      <c r="C401" s="2" t="s">
        <v>22</v>
      </c>
      <c r="D401" s="2" t="s">
        <v>31</v>
      </c>
      <c r="E401" s="2" t="s">
        <v>12</v>
      </c>
      <c r="F401" s="2" t="s">
        <v>24</v>
      </c>
      <c r="G401" s="2">
        <v>4</v>
      </c>
      <c r="H401" s="2">
        <v>12000</v>
      </c>
      <c r="I401" s="2">
        <v>0.15</v>
      </c>
      <c r="J401" s="2">
        <f t="shared" si="6"/>
        <v>40800</v>
      </c>
      <c r="K401">
        <f>_xlfn.RANK.EQ(Data!J401,Data!J401:J900,1)</f>
        <v>59</v>
      </c>
    </row>
    <row r="402" spans="1:11" x14ac:dyDescent="0.25">
      <c r="A402" s="2">
        <v>1402</v>
      </c>
      <c r="B402" s="3">
        <v>45693</v>
      </c>
      <c r="C402" s="2" t="s">
        <v>10</v>
      </c>
      <c r="D402" s="2" t="s">
        <v>11</v>
      </c>
      <c r="E402" s="2" t="s">
        <v>16</v>
      </c>
      <c r="F402" s="2" t="s">
        <v>26</v>
      </c>
      <c r="G402" s="2">
        <v>7</v>
      </c>
      <c r="H402" s="2">
        <v>4000</v>
      </c>
      <c r="I402" s="2">
        <v>0</v>
      </c>
      <c r="J402" s="2">
        <f t="shared" si="6"/>
        <v>28000</v>
      </c>
      <c r="K402">
        <f>_xlfn.RANK.EQ(Data!J402,Data!J402:J901,1)</f>
        <v>57</v>
      </c>
    </row>
    <row r="403" spans="1:11" x14ac:dyDescent="0.25">
      <c r="A403" s="2">
        <v>1403</v>
      </c>
      <c r="B403" s="3">
        <v>45694</v>
      </c>
      <c r="C403" s="2" t="s">
        <v>14</v>
      </c>
      <c r="D403" s="2" t="s">
        <v>15</v>
      </c>
      <c r="E403" s="2" t="s">
        <v>20</v>
      </c>
      <c r="F403" s="2" t="s">
        <v>28</v>
      </c>
      <c r="G403" s="2">
        <v>10</v>
      </c>
      <c r="H403" s="2">
        <v>8000</v>
      </c>
      <c r="I403" s="2">
        <v>0.05</v>
      </c>
      <c r="J403" s="2">
        <f t="shared" si="6"/>
        <v>76000</v>
      </c>
      <c r="K403">
        <f>_xlfn.RANK.EQ(Data!J403,Data!J403:J902,1)</f>
        <v>70</v>
      </c>
    </row>
    <row r="404" spans="1:11" x14ac:dyDescent="0.25">
      <c r="A404" s="2">
        <v>1404</v>
      </c>
      <c r="B404" s="3">
        <v>45695</v>
      </c>
      <c r="C404" s="2" t="s">
        <v>18</v>
      </c>
      <c r="D404" s="2" t="s">
        <v>19</v>
      </c>
      <c r="E404" s="2" t="s">
        <v>12</v>
      </c>
      <c r="F404" s="2" t="s">
        <v>30</v>
      </c>
      <c r="G404" s="2">
        <v>13</v>
      </c>
      <c r="H404" s="2">
        <v>10000</v>
      </c>
      <c r="I404" s="2">
        <v>0.1</v>
      </c>
      <c r="J404" s="2">
        <f t="shared" si="6"/>
        <v>117000</v>
      </c>
      <c r="K404">
        <f>_xlfn.RANK.EQ(Data!J404,Data!J404:J903,1)</f>
        <v>80</v>
      </c>
    </row>
    <row r="405" spans="1:11" x14ac:dyDescent="0.25">
      <c r="A405" s="2">
        <v>1405</v>
      </c>
      <c r="B405" s="3">
        <v>45696</v>
      </c>
      <c r="C405" s="2" t="s">
        <v>22</v>
      </c>
      <c r="D405" s="2" t="s">
        <v>23</v>
      </c>
      <c r="E405" s="2" t="s">
        <v>16</v>
      </c>
      <c r="F405" s="2" t="s">
        <v>32</v>
      </c>
      <c r="G405" s="2">
        <v>16</v>
      </c>
      <c r="H405" s="2">
        <v>6000</v>
      </c>
      <c r="I405" s="2">
        <v>0.15</v>
      </c>
      <c r="J405" s="2">
        <f t="shared" si="6"/>
        <v>81600</v>
      </c>
      <c r="K405">
        <f>_xlfn.RANK.EQ(Data!J405,Data!J405:J904,1)</f>
        <v>75</v>
      </c>
    </row>
    <row r="406" spans="1:11" x14ac:dyDescent="0.25">
      <c r="A406" s="2">
        <v>1406</v>
      </c>
      <c r="B406" s="3">
        <v>45697</v>
      </c>
      <c r="C406" s="2" t="s">
        <v>10</v>
      </c>
      <c r="D406" s="2" t="s">
        <v>25</v>
      </c>
      <c r="E406" s="2" t="s">
        <v>20</v>
      </c>
      <c r="F406" s="2" t="s">
        <v>33</v>
      </c>
      <c r="G406" s="2">
        <v>19</v>
      </c>
      <c r="H406" s="2">
        <v>20</v>
      </c>
      <c r="I406" s="2">
        <v>0</v>
      </c>
      <c r="J406" s="2">
        <f t="shared" si="6"/>
        <v>380</v>
      </c>
      <c r="K406">
        <f>_xlfn.RANK.EQ(Data!J406,Data!J406:J905,1)</f>
        <v>18</v>
      </c>
    </row>
    <row r="407" spans="1:11" x14ac:dyDescent="0.25">
      <c r="A407" s="2">
        <v>1407</v>
      </c>
      <c r="B407" s="3">
        <v>45698</v>
      </c>
      <c r="C407" s="2" t="s">
        <v>14</v>
      </c>
      <c r="D407" s="2" t="s">
        <v>27</v>
      </c>
      <c r="E407" s="2" t="s">
        <v>12</v>
      </c>
      <c r="F407" s="2" t="s">
        <v>34</v>
      </c>
      <c r="G407" s="2">
        <v>2</v>
      </c>
      <c r="H407" s="2">
        <v>100</v>
      </c>
      <c r="I407" s="2">
        <v>0.05</v>
      </c>
      <c r="J407" s="2">
        <f t="shared" si="6"/>
        <v>190</v>
      </c>
      <c r="K407">
        <f>_xlfn.RANK.EQ(Data!J407,Data!J407:J906,1)</f>
        <v>7</v>
      </c>
    </row>
    <row r="408" spans="1:11" x14ac:dyDescent="0.25">
      <c r="A408" s="2">
        <v>1408</v>
      </c>
      <c r="B408" s="3">
        <v>45699</v>
      </c>
      <c r="C408" s="2" t="s">
        <v>18</v>
      </c>
      <c r="D408" s="2" t="s">
        <v>29</v>
      </c>
      <c r="E408" s="2" t="s">
        <v>16</v>
      </c>
      <c r="F408" s="2" t="s">
        <v>35</v>
      </c>
      <c r="G408" s="2">
        <v>5</v>
      </c>
      <c r="H408" s="2">
        <v>50</v>
      </c>
      <c r="I408" s="2">
        <v>0.1</v>
      </c>
      <c r="J408" s="2">
        <f t="shared" si="6"/>
        <v>225</v>
      </c>
      <c r="K408">
        <f>_xlfn.RANK.EQ(Data!J408,Data!J408:J907,1)</f>
        <v>12</v>
      </c>
    </row>
    <row r="409" spans="1:11" x14ac:dyDescent="0.25">
      <c r="A409" s="2">
        <v>1409</v>
      </c>
      <c r="B409" s="3">
        <v>45700</v>
      </c>
      <c r="C409" s="2" t="s">
        <v>22</v>
      </c>
      <c r="D409" s="2" t="s">
        <v>31</v>
      </c>
      <c r="E409" s="2" t="s">
        <v>20</v>
      </c>
      <c r="F409" s="2" t="s">
        <v>36</v>
      </c>
      <c r="G409" s="2">
        <v>8</v>
      </c>
      <c r="H409" s="2">
        <v>30</v>
      </c>
      <c r="I409" s="2">
        <v>0.15</v>
      </c>
      <c r="J409" s="2">
        <f t="shared" si="6"/>
        <v>204</v>
      </c>
      <c r="K409">
        <f>_xlfn.RANK.EQ(Data!J409,Data!J409:J908,1)</f>
        <v>8</v>
      </c>
    </row>
    <row r="410" spans="1:11" x14ac:dyDescent="0.25">
      <c r="A410" s="2">
        <v>1410</v>
      </c>
      <c r="B410" s="3">
        <v>45701</v>
      </c>
      <c r="C410" s="2" t="s">
        <v>10</v>
      </c>
      <c r="D410" s="2" t="s">
        <v>11</v>
      </c>
      <c r="E410" s="2" t="s">
        <v>12</v>
      </c>
      <c r="F410" s="2" t="s">
        <v>13</v>
      </c>
      <c r="G410" s="2">
        <v>11</v>
      </c>
      <c r="H410" s="2">
        <v>50000</v>
      </c>
      <c r="I410" s="2">
        <v>0</v>
      </c>
      <c r="J410" s="2">
        <f t="shared" si="6"/>
        <v>550000</v>
      </c>
      <c r="K410">
        <f>_xlfn.RANK.EQ(Data!J410,Data!J410:J909,1)</f>
        <v>89</v>
      </c>
    </row>
    <row r="411" spans="1:11" x14ac:dyDescent="0.25">
      <c r="A411" s="2">
        <v>1411</v>
      </c>
      <c r="B411" s="3">
        <v>45702</v>
      </c>
      <c r="C411" s="2" t="s">
        <v>14</v>
      </c>
      <c r="D411" s="2" t="s">
        <v>15</v>
      </c>
      <c r="E411" s="2" t="s">
        <v>16</v>
      </c>
      <c r="F411" s="2" t="s">
        <v>17</v>
      </c>
      <c r="G411" s="2">
        <v>14</v>
      </c>
      <c r="H411" s="2">
        <v>500</v>
      </c>
      <c r="I411" s="2">
        <v>0.05</v>
      </c>
      <c r="J411" s="2">
        <f t="shared" si="6"/>
        <v>6650</v>
      </c>
      <c r="K411">
        <f>_xlfn.RANK.EQ(Data!J411,Data!J411:J910,1)</f>
        <v>35</v>
      </c>
    </row>
    <row r="412" spans="1:11" x14ac:dyDescent="0.25">
      <c r="A412" s="2">
        <v>1412</v>
      </c>
      <c r="B412" s="3">
        <v>45703</v>
      </c>
      <c r="C412" s="2" t="s">
        <v>18</v>
      </c>
      <c r="D412" s="2" t="s">
        <v>19</v>
      </c>
      <c r="E412" s="2" t="s">
        <v>20</v>
      </c>
      <c r="F412" s="2" t="s">
        <v>21</v>
      </c>
      <c r="G412" s="2">
        <v>17</v>
      </c>
      <c r="H412" s="2">
        <v>1500</v>
      </c>
      <c r="I412" s="2">
        <v>0.1</v>
      </c>
      <c r="J412" s="2">
        <f t="shared" si="6"/>
        <v>22950</v>
      </c>
      <c r="K412">
        <f>_xlfn.RANK.EQ(Data!J412,Data!J412:J911,1)</f>
        <v>50</v>
      </c>
    </row>
    <row r="413" spans="1:11" x14ac:dyDescent="0.25">
      <c r="A413" s="2">
        <v>1413</v>
      </c>
      <c r="B413" s="3">
        <v>45704</v>
      </c>
      <c r="C413" s="2" t="s">
        <v>22</v>
      </c>
      <c r="D413" s="2" t="s">
        <v>23</v>
      </c>
      <c r="E413" s="2" t="s">
        <v>12</v>
      </c>
      <c r="F413" s="2" t="s">
        <v>24</v>
      </c>
      <c r="G413" s="2">
        <v>20</v>
      </c>
      <c r="H413" s="2">
        <v>12000</v>
      </c>
      <c r="I413" s="2">
        <v>0.15</v>
      </c>
      <c r="J413" s="2">
        <f t="shared" si="6"/>
        <v>204000</v>
      </c>
      <c r="K413">
        <f>_xlfn.RANK.EQ(Data!J413,Data!J413:J912,1)</f>
        <v>83</v>
      </c>
    </row>
    <row r="414" spans="1:11" x14ac:dyDescent="0.25">
      <c r="A414" s="2">
        <v>1414</v>
      </c>
      <c r="B414" s="3">
        <v>45705</v>
      </c>
      <c r="C414" s="2" t="s">
        <v>10</v>
      </c>
      <c r="D414" s="2" t="s">
        <v>25</v>
      </c>
      <c r="E414" s="2" t="s">
        <v>16</v>
      </c>
      <c r="F414" s="2" t="s">
        <v>26</v>
      </c>
      <c r="G414" s="2">
        <v>3</v>
      </c>
      <c r="H414" s="2">
        <v>4000</v>
      </c>
      <c r="I414" s="2">
        <v>0</v>
      </c>
      <c r="J414" s="2">
        <f t="shared" si="6"/>
        <v>12000</v>
      </c>
      <c r="K414">
        <f>_xlfn.RANK.EQ(Data!J414,Data!J414:J913,1)</f>
        <v>40</v>
      </c>
    </row>
    <row r="415" spans="1:11" x14ac:dyDescent="0.25">
      <c r="A415" s="2">
        <v>1415</v>
      </c>
      <c r="B415" s="3">
        <v>45706</v>
      </c>
      <c r="C415" s="2" t="s">
        <v>14</v>
      </c>
      <c r="D415" s="2" t="s">
        <v>27</v>
      </c>
      <c r="E415" s="2" t="s">
        <v>20</v>
      </c>
      <c r="F415" s="2" t="s">
        <v>28</v>
      </c>
      <c r="G415" s="2">
        <v>6</v>
      </c>
      <c r="H415" s="2">
        <v>8000</v>
      </c>
      <c r="I415" s="2">
        <v>0.05</v>
      </c>
      <c r="J415" s="2">
        <f t="shared" si="6"/>
        <v>45600</v>
      </c>
      <c r="K415">
        <f>_xlfn.RANK.EQ(Data!J415,Data!J415:J914,1)</f>
        <v>57</v>
      </c>
    </row>
    <row r="416" spans="1:11" x14ac:dyDescent="0.25">
      <c r="A416" s="2">
        <v>1416</v>
      </c>
      <c r="B416" s="3">
        <v>45707</v>
      </c>
      <c r="C416" s="2" t="s">
        <v>18</v>
      </c>
      <c r="D416" s="2" t="s">
        <v>29</v>
      </c>
      <c r="E416" s="2" t="s">
        <v>12</v>
      </c>
      <c r="F416" s="2" t="s">
        <v>30</v>
      </c>
      <c r="G416" s="2">
        <v>9</v>
      </c>
      <c r="H416" s="2">
        <v>10000</v>
      </c>
      <c r="I416" s="2">
        <v>0.1</v>
      </c>
      <c r="J416" s="2">
        <f t="shared" si="6"/>
        <v>81000</v>
      </c>
      <c r="K416">
        <f>_xlfn.RANK.EQ(Data!J416,Data!J416:J915,1)</f>
        <v>65</v>
      </c>
    </row>
    <row r="417" spans="1:11" x14ac:dyDescent="0.25">
      <c r="A417" s="2">
        <v>1417</v>
      </c>
      <c r="B417" s="3">
        <v>45708</v>
      </c>
      <c r="C417" s="2" t="s">
        <v>22</v>
      </c>
      <c r="D417" s="2" t="s">
        <v>31</v>
      </c>
      <c r="E417" s="2" t="s">
        <v>16</v>
      </c>
      <c r="F417" s="2" t="s">
        <v>32</v>
      </c>
      <c r="G417" s="2">
        <v>12</v>
      </c>
      <c r="H417" s="2">
        <v>6000</v>
      </c>
      <c r="I417" s="2">
        <v>0.15</v>
      </c>
      <c r="J417" s="2">
        <f t="shared" si="6"/>
        <v>61200</v>
      </c>
      <c r="K417">
        <f>_xlfn.RANK.EQ(Data!J417,Data!J417:J916,1)</f>
        <v>60</v>
      </c>
    </row>
    <row r="418" spans="1:11" x14ac:dyDescent="0.25">
      <c r="A418" s="2">
        <v>1418</v>
      </c>
      <c r="B418" s="3">
        <v>45709</v>
      </c>
      <c r="C418" s="2" t="s">
        <v>10</v>
      </c>
      <c r="D418" s="2" t="s">
        <v>11</v>
      </c>
      <c r="E418" s="2" t="s">
        <v>20</v>
      </c>
      <c r="F418" s="2" t="s">
        <v>33</v>
      </c>
      <c r="G418" s="2">
        <v>15</v>
      </c>
      <c r="H418" s="2">
        <v>20</v>
      </c>
      <c r="I418" s="2">
        <v>0</v>
      </c>
      <c r="J418" s="2">
        <f t="shared" si="6"/>
        <v>300</v>
      </c>
      <c r="K418">
        <f>_xlfn.RANK.EQ(Data!J418,Data!J418:J917,1)</f>
        <v>12</v>
      </c>
    </row>
    <row r="419" spans="1:11" x14ac:dyDescent="0.25">
      <c r="A419" s="2">
        <v>1419</v>
      </c>
      <c r="B419" s="3">
        <v>45710</v>
      </c>
      <c r="C419" s="2" t="s">
        <v>14</v>
      </c>
      <c r="D419" s="2" t="s">
        <v>15</v>
      </c>
      <c r="E419" s="2" t="s">
        <v>12</v>
      </c>
      <c r="F419" s="2" t="s">
        <v>34</v>
      </c>
      <c r="G419" s="2">
        <v>18</v>
      </c>
      <c r="H419" s="2">
        <v>100</v>
      </c>
      <c r="I419" s="2">
        <v>0.05</v>
      </c>
      <c r="J419" s="2">
        <f t="shared" si="6"/>
        <v>1710</v>
      </c>
      <c r="K419">
        <f>_xlfn.RANK.EQ(Data!J419,Data!J419:J918,1)</f>
        <v>28</v>
      </c>
    </row>
    <row r="420" spans="1:11" x14ac:dyDescent="0.25">
      <c r="A420" s="2">
        <v>1420</v>
      </c>
      <c r="B420" s="3">
        <v>45711</v>
      </c>
      <c r="C420" s="2" t="s">
        <v>18</v>
      </c>
      <c r="D420" s="2" t="s">
        <v>19</v>
      </c>
      <c r="E420" s="2" t="s">
        <v>16</v>
      </c>
      <c r="F420" s="2" t="s">
        <v>35</v>
      </c>
      <c r="G420" s="2">
        <v>1</v>
      </c>
      <c r="H420" s="2">
        <v>50</v>
      </c>
      <c r="I420" s="2">
        <v>0.1</v>
      </c>
      <c r="J420" s="2">
        <f t="shared" si="6"/>
        <v>45</v>
      </c>
      <c r="K420">
        <f>_xlfn.RANK.EQ(Data!J420,Data!J420:J919,1)</f>
        <v>1</v>
      </c>
    </row>
    <row r="421" spans="1:11" x14ac:dyDescent="0.25">
      <c r="A421" s="2">
        <v>1421</v>
      </c>
      <c r="B421" s="3">
        <v>45712</v>
      </c>
      <c r="C421" s="2" t="s">
        <v>22</v>
      </c>
      <c r="D421" s="2" t="s">
        <v>23</v>
      </c>
      <c r="E421" s="2" t="s">
        <v>20</v>
      </c>
      <c r="F421" s="2" t="s">
        <v>36</v>
      </c>
      <c r="G421" s="2">
        <v>4</v>
      </c>
      <c r="H421" s="2">
        <v>30</v>
      </c>
      <c r="I421" s="2">
        <v>0.15</v>
      </c>
      <c r="J421" s="2">
        <f t="shared" si="6"/>
        <v>102</v>
      </c>
      <c r="K421">
        <f>_xlfn.RANK.EQ(Data!J421,Data!J421:J920,1)</f>
        <v>3</v>
      </c>
    </row>
    <row r="422" spans="1:11" x14ac:dyDescent="0.25">
      <c r="A422" s="2">
        <v>1422</v>
      </c>
      <c r="B422" s="3">
        <v>45713</v>
      </c>
      <c r="C422" s="2" t="s">
        <v>10</v>
      </c>
      <c r="D422" s="2" t="s">
        <v>25</v>
      </c>
      <c r="E422" s="2" t="s">
        <v>12</v>
      </c>
      <c r="F422" s="2" t="s">
        <v>13</v>
      </c>
      <c r="G422" s="2">
        <v>7</v>
      </c>
      <c r="H422" s="2">
        <v>50000</v>
      </c>
      <c r="I422" s="2">
        <v>0</v>
      </c>
      <c r="J422" s="2">
        <f t="shared" si="6"/>
        <v>350000</v>
      </c>
      <c r="K422">
        <f>_xlfn.RANK.EQ(Data!J422,Data!J422:J921,1)</f>
        <v>76</v>
      </c>
    </row>
    <row r="423" spans="1:11" x14ac:dyDescent="0.25">
      <c r="A423" s="2">
        <v>1423</v>
      </c>
      <c r="B423" s="3">
        <v>45714</v>
      </c>
      <c r="C423" s="2" t="s">
        <v>14</v>
      </c>
      <c r="D423" s="2" t="s">
        <v>27</v>
      </c>
      <c r="E423" s="2" t="s">
        <v>16</v>
      </c>
      <c r="F423" s="2" t="s">
        <v>17</v>
      </c>
      <c r="G423" s="2">
        <v>10</v>
      </c>
      <c r="H423" s="2">
        <v>500</v>
      </c>
      <c r="I423" s="2">
        <v>0.05</v>
      </c>
      <c r="J423" s="2">
        <f t="shared" si="6"/>
        <v>4750</v>
      </c>
      <c r="K423">
        <f>_xlfn.RANK.EQ(Data!J423,Data!J423:J922,1)</f>
        <v>29</v>
      </c>
    </row>
    <row r="424" spans="1:11" x14ac:dyDescent="0.25">
      <c r="A424" s="2">
        <v>1424</v>
      </c>
      <c r="B424" s="3">
        <v>45715</v>
      </c>
      <c r="C424" s="2" t="s">
        <v>18</v>
      </c>
      <c r="D424" s="2" t="s">
        <v>29</v>
      </c>
      <c r="E424" s="2" t="s">
        <v>20</v>
      </c>
      <c r="F424" s="2" t="s">
        <v>21</v>
      </c>
      <c r="G424" s="2">
        <v>13</v>
      </c>
      <c r="H424" s="2">
        <v>1500</v>
      </c>
      <c r="I424" s="2">
        <v>0.1</v>
      </c>
      <c r="J424" s="2">
        <f t="shared" si="6"/>
        <v>17550</v>
      </c>
      <c r="K424">
        <f>_xlfn.RANK.EQ(Data!J424,Data!J424:J923,1)</f>
        <v>40</v>
      </c>
    </row>
    <row r="425" spans="1:11" x14ac:dyDescent="0.25">
      <c r="A425" s="2">
        <v>1425</v>
      </c>
      <c r="B425" s="3">
        <v>45716</v>
      </c>
      <c r="C425" s="2" t="s">
        <v>22</v>
      </c>
      <c r="D425" s="2" t="s">
        <v>31</v>
      </c>
      <c r="E425" s="2" t="s">
        <v>12</v>
      </c>
      <c r="F425" s="2" t="s">
        <v>24</v>
      </c>
      <c r="G425" s="2">
        <v>16</v>
      </c>
      <c r="H425" s="2">
        <v>12000</v>
      </c>
      <c r="I425" s="2">
        <v>0.15</v>
      </c>
      <c r="J425" s="2">
        <f t="shared" si="6"/>
        <v>163200</v>
      </c>
      <c r="K425">
        <f>_xlfn.RANK.EQ(Data!J425,Data!J425:J924,1)</f>
        <v>71</v>
      </c>
    </row>
    <row r="426" spans="1:11" x14ac:dyDescent="0.25">
      <c r="A426" s="2">
        <v>1426</v>
      </c>
      <c r="B426" s="3">
        <v>45717</v>
      </c>
      <c r="C426" s="2" t="s">
        <v>10</v>
      </c>
      <c r="D426" s="2" t="s">
        <v>11</v>
      </c>
      <c r="E426" s="2" t="s">
        <v>16</v>
      </c>
      <c r="F426" s="2" t="s">
        <v>26</v>
      </c>
      <c r="G426" s="2">
        <v>19</v>
      </c>
      <c r="H426" s="2">
        <v>4000</v>
      </c>
      <c r="I426" s="2">
        <v>0</v>
      </c>
      <c r="J426" s="2">
        <f t="shared" si="6"/>
        <v>76000</v>
      </c>
      <c r="K426">
        <f>_xlfn.RANK.EQ(Data!J426,Data!J426:J925,1)</f>
        <v>55</v>
      </c>
    </row>
    <row r="427" spans="1:11" x14ac:dyDescent="0.25">
      <c r="A427" s="2">
        <v>1427</v>
      </c>
      <c r="B427" s="3">
        <v>45718</v>
      </c>
      <c r="C427" s="2" t="s">
        <v>14</v>
      </c>
      <c r="D427" s="2" t="s">
        <v>15</v>
      </c>
      <c r="E427" s="2" t="s">
        <v>20</v>
      </c>
      <c r="F427" s="2" t="s">
        <v>28</v>
      </c>
      <c r="G427" s="2">
        <v>2</v>
      </c>
      <c r="H427" s="2">
        <v>8000</v>
      </c>
      <c r="I427" s="2">
        <v>0.05</v>
      </c>
      <c r="J427" s="2">
        <f t="shared" si="6"/>
        <v>15200</v>
      </c>
      <c r="K427">
        <f>_xlfn.RANK.EQ(Data!J427,Data!J427:J926,1)</f>
        <v>38</v>
      </c>
    </row>
    <row r="428" spans="1:11" x14ac:dyDescent="0.25">
      <c r="A428" s="2">
        <v>1428</v>
      </c>
      <c r="B428" s="3">
        <v>45719</v>
      </c>
      <c r="C428" s="2" t="s">
        <v>18</v>
      </c>
      <c r="D428" s="2" t="s">
        <v>19</v>
      </c>
      <c r="E428" s="2" t="s">
        <v>12</v>
      </c>
      <c r="F428" s="2" t="s">
        <v>30</v>
      </c>
      <c r="G428" s="2">
        <v>5</v>
      </c>
      <c r="H428" s="2">
        <v>10000</v>
      </c>
      <c r="I428" s="2">
        <v>0.1</v>
      </c>
      <c r="J428" s="2">
        <f t="shared" si="6"/>
        <v>45000</v>
      </c>
      <c r="K428">
        <f>_xlfn.RANK.EQ(Data!J428,Data!J428:J927,1)</f>
        <v>48</v>
      </c>
    </row>
    <row r="429" spans="1:11" x14ac:dyDescent="0.25">
      <c r="A429" s="2">
        <v>1429</v>
      </c>
      <c r="B429" s="3">
        <v>45720</v>
      </c>
      <c r="C429" s="2" t="s">
        <v>22</v>
      </c>
      <c r="D429" s="2" t="s">
        <v>23</v>
      </c>
      <c r="E429" s="2" t="s">
        <v>16</v>
      </c>
      <c r="F429" s="2" t="s">
        <v>32</v>
      </c>
      <c r="G429" s="2">
        <v>8</v>
      </c>
      <c r="H429" s="2">
        <v>6000</v>
      </c>
      <c r="I429" s="2">
        <v>0.15</v>
      </c>
      <c r="J429" s="2">
        <f t="shared" si="6"/>
        <v>40800</v>
      </c>
      <c r="K429">
        <f>_xlfn.RANK.EQ(Data!J429,Data!J429:J928,1)</f>
        <v>44</v>
      </c>
    </row>
    <row r="430" spans="1:11" x14ac:dyDescent="0.25">
      <c r="A430" s="2">
        <v>1430</v>
      </c>
      <c r="B430" s="3">
        <v>45721</v>
      </c>
      <c r="C430" s="2" t="s">
        <v>10</v>
      </c>
      <c r="D430" s="2" t="s">
        <v>25</v>
      </c>
      <c r="E430" s="2" t="s">
        <v>20</v>
      </c>
      <c r="F430" s="2" t="s">
        <v>33</v>
      </c>
      <c r="G430" s="2">
        <v>11</v>
      </c>
      <c r="H430" s="2">
        <v>20</v>
      </c>
      <c r="I430" s="2">
        <v>0</v>
      </c>
      <c r="J430" s="2">
        <f t="shared" si="6"/>
        <v>220</v>
      </c>
      <c r="K430">
        <f>_xlfn.RANK.EQ(Data!J430,Data!J430:J929,1)</f>
        <v>7</v>
      </c>
    </row>
    <row r="431" spans="1:11" x14ac:dyDescent="0.25">
      <c r="A431" s="2">
        <v>1431</v>
      </c>
      <c r="B431" s="3">
        <v>45722</v>
      </c>
      <c r="C431" s="2" t="s">
        <v>14</v>
      </c>
      <c r="D431" s="2" t="s">
        <v>27</v>
      </c>
      <c r="E431" s="2" t="s">
        <v>12</v>
      </c>
      <c r="F431" s="2" t="s">
        <v>34</v>
      </c>
      <c r="G431" s="2">
        <v>14</v>
      </c>
      <c r="H431" s="2">
        <v>100</v>
      </c>
      <c r="I431" s="2">
        <v>0.05</v>
      </c>
      <c r="J431" s="2">
        <f t="shared" si="6"/>
        <v>1330</v>
      </c>
      <c r="K431">
        <f>_xlfn.RANK.EQ(Data!J431,Data!J431:J930,1)</f>
        <v>22</v>
      </c>
    </row>
    <row r="432" spans="1:11" x14ac:dyDescent="0.25">
      <c r="A432" s="2">
        <v>1432</v>
      </c>
      <c r="B432" s="3">
        <v>45723</v>
      </c>
      <c r="C432" s="2" t="s">
        <v>18</v>
      </c>
      <c r="D432" s="2" t="s">
        <v>29</v>
      </c>
      <c r="E432" s="2" t="s">
        <v>16</v>
      </c>
      <c r="F432" s="2" t="s">
        <v>35</v>
      </c>
      <c r="G432" s="2">
        <v>17</v>
      </c>
      <c r="H432" s="2">
        <v>50</v>
      </c>
      <c r="I432" s="2">
        <v>0.1</v>
      </c>
      <c r="J432" s="2">
        <f t="shared" si="6"/>
        <v>765</v>
      </c>
      <c r="K432">
        <f>_xlfn.RANK.EQ(Data!J432,Data!J432:J931,1)</f>
        <v>18</v>
      </c>
    </row>
    <row r="433" spans="1:11" x14ac:dyDescent="0.25">
      <c r="A433" s="2">
        <v>1433</v>
      </c>
      <c r="B433" s="3">
        <v>45724</v>
      </c>
      <c r="C433" s="2" t="s">
        <v>22</v>
      </c>
      <c r="D433" s="2" t="s">
        <v>31</v>
      </c>
      <c r="E433" s="2" t="s">
        <v>20</v>
      </c>
      <c r="F433" s="2" t="s">
        <v>36</v>
      </c>
      <c r="G433" s="2">
        <v>20</v>
      </c>
      <c r="H433" s="2">
        <v>30</v>
      </c>
      <c r="I433" s="2">
        <v>0.15</v>
      </c>
      <c r="J433" s="2">
        <f t="shared" si="6"/>
        <v>510</v>
      </c>
      <c r="K433">
        <f>_xlfn.RANK.EQ(Data!J433,Data!J433:J932,1)</f>
        <v>14</v>
      </c>
    </row>
    <row r="434" spans="1:11" x14ac:dyDescent="0.25">
      <c r="A434" s="2">
        <v>1434</v>
      </c>
      <c r="B434" s="3">
        <v>45725</v>
      </c>
      <c r="C434" s="2" t="s">
        <v>10</v>
      </c>
      <c r="D434" s="2" t="s">
        <v>11</v>
      </c>
      <c r="E434" s="2" t="s">
        <v>12</v>
      </c>
      <c r="F434" s="2" t="s">
        <v>13</v>
      </c>
      <c r="G434" s="2">
        <v>3</v>
      </c>
      <c r="H434" s="2">
        <v>50000</v>
      </c>
      <c r="I434" s="2">
        <v>0</v>
      </c>
      <c r="J434" s="2">
        <f t="shared" si="6"/>
        <v>150000</v>
      </c>
      <c r="K434">
        <f>_xlfn.RANK.EQ(Data!J434,Data!J434:J933,1)</f>
        <v>60</v>
      </c>
    </row>
    <row r="435" spans="1:11" x14ac:dyDescent="0.25">
      <c r="A435" s="2">
        <v>1435</v>
      </c>
      <c r="B435" s="3">
        <v>45726</v>
      </c>
      <c r="C435" s="2" t="s">
        <v>14</v>
      </c>
      <c r="D435" s="2" t="s">
        <v>15</v>
      </c>
      <c r="E435" s="2" t="s">
        <v>16</v>
      </c>
      <c r="F435" s="2" t="s">
        <v>17</v>
      </c>
      <c r="G435" s="2">
        <v>6</v>
      </c>
      <c r="H435" s="2">
        <v>500</v>
      </c>
      <c r="I435" s="2">
        <v>0.05</v>
      </c>
      <c r="J435" s="2">
        <f t="shared" si="6"/>
        <v>2850</v>
      </c>
      <c r="K435">
        <f>_xlfn.RANK.EQ(Data!J435,Data!J435:J934,1)</f>
        <v>23</v>
      </c>
    </row>
    <row r="436" spans="1:11" x14ac:dyDescent="0.25">
      <c r="A436" s="2">
        <v>1436</v>
      </c>
      <c r="B436" s="3">
        <v>45727</v>
      </c>
      <c r="C436" s="2" t="s">
        <v>18</v>
      </c>
      <c r="D436" s="2" t="s">
        <v>19</v>
      </c>
      <c r="E436" s="2" t="s">
        <v>20</v>
      </c>
      <c r="F436" s="2" t="s">
        <v>21</v>
      </c>
      <c r="G436" s="2">
        <v>9</v>
      </c>
      <c r="H436" s="2">
        <v>1500</v>
      </c>
      <c r="I436" s="2">
        <v>0.1</v>
      </c>
      <c r="J436" s="2">
        <f t="shared" si="6"/>
        <v>12150</v>
      </c>
      <c r="K436">
        <f>_xlfn.RANK.EQ(Data!J436,Data!J436:J935,1)</f>
        <v>31</v>
      </c>
    </row>
    <row r="437" spans="1:11" x14ac:dyDescent="0.25">
      <c r="A437" s="2">
        <v>1437</v>
      </c>
      <c r="B437" s="3">
        <v>45728</v>
      </c>
      <c r="C437" s="2" t="s">
        <v>22</v>
      </c>
      <c r="D437" s="2" t="s">
        <v>23</v>
      </c>
      <c r="E437" s="2" t="s">
        <v>12</v>
      </c>
      <c r="F437" s="2" t="s">
        <v>24</v>
      </c>
      <c r="G437" s="2">
        <v>12</v>
      </c>
      <c r="H437" s="2">
        <v>12000</v>
      </c>
      <c r="I437" s="2">
        <v>0.15</v>
      </c>
      <c r="J437" s="2">
        <f t="shared" si="6"/>
        <v>122400</v>
      </c>
      <c r="K437">
        <f>_xlfn.RANK.EQ(Data!J437,Data!J437:J936,1)</f>
        <v>54</v>
      </c>
    </row>
    <row r="438" spans="1:11" x14ac:dyDescent="0.25">
      <c r="A438" s="2">
        <v>1438</v>
      </c>
      <c r="B438" s="3">
        <v>45729</v>
      </c>
      <c r="C438" s="2" t="s">
        <v>10</v>
      </c>
      <c r="D438" s="2" t="s">
        <v>25</v>
      </c>
      <c r="E438" s="2" t="s">
        <v>16</v>
      </c>
      <c r="F438" s="2" t="s">
        <v>26</v>
      </c>
      <c r="G438" s="2">
        <v>15</v>
      </c>
      <c r="H438" s="2">
        <v>4000</v>
      </c>
      <c r="I438" s="2">
        <v>0</v>
      </c>
      <c r="J438" s="2">
        <f t="shared" si="6"/>
        <v>60000</v>
      </c>
      <c r="K438">
        <f>_xlfn.RANK.EQ(Data!J438,Data!J438:J937,1)</f>
        <v>43</v>
      </c>
    </row>
    <row r="439" spans="1:11" x14ac:dyDescent="0.25">
      <c r="A439" s="2">
        <v>1439</v>
      </c>
      <c r="B439" s="3">
        <v>45730</v>
      </c>
      <c r="C439" s="2" t="s">
        <v>14</v>
      </c>
      <c r="D439" s="2" t="s">
        <v>27</v>
      </c>
      <c r="E439" s="2" t="s">
        <v>20</v>
      </c>
      <c r="F439" s="2" t="s">
        <v>28</v>
      </c>
      <c r="G439" s="2">
        <v>18</v>
      </c>
      <c r="H439" s="2">
        <v>8000</v>
      </c>
      <c r="I439" s="2">
        <v>0.05</v>
      </c>
      <c r="J439" s="2">
        <f t="shared" si="6"/>
        <v>136800</v>
      </c>
      <c r="K439">
        <f>_xlfn.RANK.EQ(Data!J439,Data!J439:J938,1)</f>
        <v>54</v>
      </c>
    </row>
    <row r="440" spans="1:11" x14ac:dyDescent="0.25">
      <c r="A440" s="2">
        <v>1440</v>
      </c>
      <c r="B440" s="3">
        <v>45731</v>
      </c>
      <c r="C440" s="2" t="s">
        <v>18</v>
      </c>
      <c r="D440" s="2" t="s">
        <v>29</v>
      </c>
      <c r="E440" s="2" t="s">
        <v>12</v>
      </c>
      <c r="F440" s="2" t="s">
        <v>30</v>
      </c>
      <c r="G440" s="2">
        <v>1</v>
      </c>
      <c r="H440" s="2">
        <v>10000</v>
      </c>
      <c r="I440" s="2">
        <v>0.1</v>
      </c>
      <c r="J440" s="2">
        <f t="shared" si="6"/>
        <v>9000</v>
      </c>
      <c r="K440">
        <f>_xlfn.RANK.EQ(Data!J440,Data!J440:J939,1)</f>
        <v>28</v>
      </c>
    </row>
    <row r="441" spans="1:11" x14ac:dyDescent="0.25">
      <c r="A441" s="2">
        <v>1441</v>
      </c>
      <c r="B441" s="3">
        <v>45732</v>
      </c>
      <c r="C441" s="2" t="s">
        <v>22</v>
      </c>
      <c r="D441" s="2" t="s">
        <v>31</v>
      </c>
      <c r="E441" s="2" t="s">
        <v>16</v>
      </c>
      <c r="F441" s="2" t="s">
        <v>32</v>
      </c>
      <c r="G441" s="2">
        <v>4</v>
      </c>
      <c r="H441" s="2">
        <v>6000</v>
      </c>
      <c r="I441" s="2">
        <v>0.15</v>
      </c>
      <c r="J441" s="2">
        <f t="shared" si="6"/>
        <v>20400</v>
      </c>
      <c r="K441">
        <f>_xlfn.RANK.EQ(Data!J441,Data!J441:J940,1)</f>
        <v>33</v>
      </c>
    </row>
    <row r="442" spans="1:11" x14ac:dyDescent="0.25">
      <c r="A442" s="2">
        <v>1442</v>
      </c>
      <c r="B442" s="3">
        <v>45733</v>
      </c>
      <c r="C442" s="2" t="s">
        <v>10</v>
      </c>
      <c r="D442" s="2" t="s">
        <v>11</v>
      </c>
      <c r="E442" s="2" t="s">
        <v>20</v>
      </c>
      <c r="F442" s="2" t="s">
        <v>33</v>
      </c>
      <c r="G442" s="2">
        <v>7</v>
      </c>
      <c r="H442" s="2">
        <v>20</v>
      </c>
      <c r="I442" s="2">
        <v>0</v>
      </c>
      <c r="J442" s="2">
        <f t="shared" si="6"/>
        <v>140</v>
      </c>
      <c r="K442">
        <f>_xlfn.RANK.EQ(Data!J442,Data!J442:J941,1)</f>
        <v>4</v>
      </c>
    </row>
    <row r="443" spans="1:11" x14ac:dyDescent="0.25">
      <c r="A443" s="2">
        <v>1443</v>
      </c>
      <c r="B443" s="3">
        <v>45734</v>
      </c>
      <c r="C443" s="2" t="s">
        <v>14</v>
      </c>
      <c r="D443" s="2" t="s">
        <v>15</v>
      </c>
      <c r="E443" s="2" t="s">
        <v>12</v>
      </c>
      <c r="F443" s="2" t="s">
        <v>34</v>
      </c>
      <c r="G443" s="2">
        <v>10</v>
      </c>
      <c r="H443" s="2">
        <v>100</v>
      </c>
      <c r="I443" s="2">
        <v>0.05</v>
      </c>
      <c r="J443" s="2">
        <f t="shared" si="6"/>
        <v>950</v>
      </c>
      <c r="K443">
        <f>_xlfn.RANK.EQ(Data!J443,Data!J443:J942,1)</f>
        <v>17</v>
      </c>
    </row>
    <row r="444" spans="1:11" x14ac:dyDescent="0.25">
      <c r="A444" s="2">
        <v>1444</v>
      </c>
      <c r="B444" s="3">
        <v>45735</v>
      </c>
      <c r="C444" s="2" t="s">
        <v>18</v>
      </c>
      <c r="D444" s="2" t="s">
        <v>19</v>
      </c>
      <c r="E444" s="2" t="s">
        <v>16</v>
      </c>
      <c r="F444" s="2" t="s">
        <v>35</v>
      </c>
      <c r="G444" s="2">
        <v>13</v>
      </c>
      <c r="H444" s="2">
        <v>50</v>
      </c>
      <c r="I444" s="2">
        <v>0.1</v>
      </c>
      <c r="J444" s="2">
        <f t="shared" si="6"/>
        <v>585</v>
      </c>
      <c r="K444">
        <f>_xlfn.RANK.EQ(Data!J444,Data!J444:J943,1)</f>
        <v>15</v>
      </c>
    </row>
    <row r="445" spans="1:11" x14ac:dyDescent="0.25">
      <c r="A445" s="2">
        <v>1445</v>
      </c>
      <c r="B445" s="3">
        <v>45736</v>
      </c>
      <c r="C445" s="2" t="s">
        <v>22</v>
      </c>
      <c r="D445" s="2" t="s">
        <v>23</v>
      </c>
      <c r="E445" s="2" t="s">
        <v>20</v>
      </c>
      <c r="F445" s="2" t="s">
        <v>36</v>
      </c>
      <c r="G445" s="2">
        <v>16</v>
      </c>
      <c r="H445" s="2">
        <v>30</v>
      </c>
      <c r="I445" s="2">
        <v>0.15</v>
      </c>
      <c r="J445" s="2">
        <f t="shared" si="6"/>
        <v>408</v>
      </c>
      <c r="K445">
        <f>_xlfn.RANK.EQ(Data!J445,Data!J445:J944,1)</f>
        <v>12</v>
      </c>
    </row>
    <row r="446" spans="1:11" x14ac:dyDescent="0.25">
      <c r="A446" s="2">
        <v>1446</v>
      </c>
      <c r="B446" s="3">
        <v>45737</v>
      </c>
      <c r="C446" s="2" t="s">
        <v>10</v>
      </c>
      <c r="D446" s="2" t="s">
        <v>25</v>
      </c>
      <c r="E446" s="2" t="s">
        <v>12</v>
      </c>
      <c r="F446" s="2" t="s">
        <v>13</v>
      </c>
      <c r="G446" s="2">
        <v>19</v>
      </c>
      <c r="H446" s="2">
        <v>50000</v>
      </c>
      <c r="I446" s="2">
        <v>0</v>
      </c>
      <c r="J446" s="2">
        <f t="shared" si="6"/>
        <v>950000</v>
      </c>
      <c r="K446">
        <f>_xlfn.RANK.EQ(Data!J446,Data!J446:J945,1)</f>
        <v>56</v>
      </c>
    </row>
    <row r="447" spans="1:11" x14ac:dyDescent="0.25">
      <c r="A447" s="2">
        <v>1447</v>
      </c>
      <c r="B447" s="3">
        <v>45738</v>
      </c>
      <c r="C447" s="2" t="s">
        <v>14</v>
      </c>
      <c r="D447" s="2" t="s">
        <v>27</v>
      </c>
      <c r="E447" s="2" t="s">
        <v>16</v>
      </c>
      <c r="F447" s="2" t="s">
        <v>17</v>
      </c>
      <c r="G447" s="2">
        <v>2</v>
      </c>
      <c r="H447" s="2">
        <v>500</v>
      </c>
      <c r="I447" s="2">
        <v>0.05</v>
      </c>
      <c r="J447" s="2">
        <f t="shared" si="6"/>
        <v>950</v>
      </c>
      <c r="K447">
        <f>_xlfn.RANK.EQ(Data!J447,Data!J447:J946,1)</f>
        <v>15</v>
      </c>
    </row>
    <row r="448" spans="1:11" x14ac:dyDescent="0.25">
      <c r="A448" s="2">
        <v>1448</v>
      </c>
      <c r="B448" s="3">
        <v>45739</v>
      </c>
      <c r="C448" s="2" t="s">
        <v>18</v>
      </c>
      <c r="D448" s="2" t="s">
        <v>29</v>
      </c>
      <c r="E448" s="2" t="s">
        <v>20</v>
      </c>
      <c r="F448" s="2" t="s">
        <v>21</v>
      </c>
      <c r="G448" s="2">
        <v>5</v>
      </c>
      <c r="H448" s="2">
        <v>1500</v>
      </c>
      <c r="I448" s="2">
        <v>0.1</v>
      </c>
      <c r="J448" s="2">
        <f t="shared" si="6"/>
        <v>6750</v>
      </c>
      <c r="K448">
        <f>_xlfn.RANK.EQ(Data!J448,Data!J448:J947,1)</f>
        <v>21</v>
      </c>
    </row>
    <row r="449" spans="1:11" x14ac:dyDescent="0.25">
      <c r="A449" s="2">
        <v>1449</v>
      </c>
      <c r="B449" s="3">
        <v>45740</v>
      </c>
      <c r="C449" s="2" t="s">
        <v>22</v>
      </c>
      <c r="D449" s="2" t="s">
        <v>31</v>
      </c>
      <c r="E449" s="2" t="s">
        <v>12</v>
      </c>
      <c r="F449" s="2" t="s">
        <v>24</v>
      </c>
      <c r="G449" s="2">
        <v>8</v>
      </c>
      <c r="H449" s="2">
        <v>12000</v>
      </c>
      <c r="I449" s="2">
        <v>0.15</v>
      </c>
      <c r="J449" s="2">
        <f t="shared" si="6"/>
        <v>81600</v>
      </c>
      <c r="K449">
        <f>_xlfn.RANK.EQ(Data!J449,Data!J449:J948,1)</f>
        <v>40</v>
      </c>
    </row>
    <row r="450" spans="1:11" x14ac:dyDescent="0.25">
      <c r="A450" s="2">
        <v>1450</v>
      </c>
      <c r="B450" s="3">
        <v>45741</v>
      </c>
      <c r="C450" s="2" t="s">
        <v>10</v>
      </c>
      <c r="D450" s="2" t="s">
        <v>11</v>
      </c>
      <c r="E450" s="2" t="s">
        <v>16</v>
      </c>
      <c r="F450" s="2" t="s">
        <v>26</v>
      </c>
      <c r="G450" s="2">
        <v>11</v>
      </c>
      <c r="H450" s="2">
        <v>4000</v>
      </c>
      <c r="I450" s="2">
        <v>0</v>
      </c>
      <c r="J450" s="2">
        <f t="shared" ref="J450:J501" si="7">G450*H450*(1-I450)</f>
        <v>44000</v>
      </c>
      <c r="K450">
        <f>_xlfn.RANK.EQ(Data!J450,Data!J450:J949,1)</f>
        <v>32</v>
      </c>
    </row>
    <row r="451" spans="1:11" x14ac:dyDescent="0.25">
      <c r="A451" s="2">
        <v>1451</v>
      </c>
      <c r="B451" s="3">
        <v>45742</v>
      </c>
      <c r="C451" s="2" t="s">
        <v>14</v>
      </c>
      <c r="D451" s="2" t="s">
        <v>15</v>
      </c>
      <c r="E451" s="2" t="s">
        <v>20</v>
      </c>
      <c r="F451" s="2" t="s">
        <v>28</v>
      </c>
      <c r="G451" s="2">
        <v>14</v>
      </c>
      <c r="H451" s="2">
        <v>8000</v>
      </c>
      <c r="I451" s="2">
        <v>0.05</v>
      </c>
      <c r="J451" s="2">
        <f t="shared" si="7"/>
        <v>106400</v>
      </c>
      <c r="K451">
        <f>_xlfn.RANK.EQ(Data!J451,Data!J451:J950,1)</f>
        <v>41</v>
      </c>
    </row>
    <row r="452" spans="1:11" x14ac:dyDescent="0.25">
      <c r="A452" s="2">
        <v>1452</v>
      </c>
      <c r="B452" s="3">
        <v>45743</v>
      </c>
      <c r="C452" s="2" t="s">
        <v>18</v>
      </c>
      <c r="D452" s="2" t="s">
        <v>19</v>
      </c>
      <c r="E452" s="2" t="s">
        <v>12</v>
      </c>
      <c r="F452" s="2" t="s">
        <v>30</v>
      </c>
      <c r="G452" s="2">
        <v>17</v>
      </c>
      <c r="H452" s="2">
        <v>10000</v>
      </c>
      <c r="I452" s="2">
        <v>0.1</v>
      </c>
      <c r="J452" s="2">
        <f t="shared" si="7"/>
        <v>153000</v>
      </c>
      <c r="K452">
        <f>_xlfn.RANK.EQ(Data!J452,Data!J452:J951,1)</f>
        <v>45</v>
      </c>
    </row>
    <row r="453" spans="1:11" x14ac:dyDescent="0.25">
      <c r="A453" s="2">
        <v>1453</v>
      </c>
      <c r="B453" s="3">
        <v>45744</v>
      </c>
      <c r="C453" s="2" t="s">
        <v>22</v>
      </c>
      <c r="D453" s="2" t="s">
        <v>23</v>
      </c>
      <c r="E453" s="2" t="s">
        <v>16</v>
      </c>
      <c r="F453" s="2" t="s">
        <v>32</v>
      </c>
      <c r="G453" s="2">
        <v>20</v>
      </c>
      <c r="H453" s="2">
        <v>6000</v>
      </c>
      <c r="I453" s="2">
        <v>0.15</v>
      </c>
      <c r="J453" s="2">
        <f t="shared" si="7"/>
        <v>102000</v>
      </c>
      <c r="K453">
        <f>_xlfn.RANK.EQ(Data!J453,Data!J453:J952,1)</f>
        <v>40</v>
      </c>
    </row>
    <row r="454" spans="1:11" x14ac:dyDescent="0.25">
      <c r="A454" s="2">
        <v>1454</v>
      </c>
      <c r="B454" s="3">
        <v>45745</v>
      </c>
      <c r="C454" s="2" t="s">
        <v>10</v>
      </c>
      <c r="D454" s="2" t="s">
        <v>25</v>
      </c>
      <c r="E454" s="2" t="s">
        <v>20</v>
      </c>
      <c r="F454" s="2" t="s">
        <v>33</v>
      </c>
      <c r="G454" s="2">
        <v>3</v>
      </c>
      <c r="H454" s="2">
        <v>20</v>
      </c>
      <c r="I454" s="2">
        <v>0</v>
      </c>
      <c r="J454" s="2">
        <f t="shared" si="7"/>
        <v>60</v>
      </c>
      <c r="K454">
        <f>_xlfn.RANK.EQ(Data!J454,Data!J454:J953,1)</f>
        <v>2</v>
      </c>
    </row>
    <row r="455" spans="1:11" x14ac:dyDescent="0.25">
      <c r="A455" s="2">
        <v>1455</v>
      </c>
      <c r="B455" s="3">
        <v>45746</v>
      </c>
      <c r="C455" s="2" t="s">
        <v>14</v>
      </c>
      <c r="D455" s="2" t="s">
        <v>27</v>
      </c>
      <c r="E455" s="2" t="s">
        <v>12</v>
      </c>
      <c r="F455" s="2" t="s">
        <v>34</v>
      </c>
      <c r="G455" s="2">
        <v>6</v>
      </c>
      <c r="H455" s="2">
        <v>100</v>
      </c>
      <c r="I455" s="2">
        <v>0.05</v>
      </c>
      <c r="J455" s="2">
        <f t="shared" si="7"/>
        <v>570</v>
      </c>
      <c r="K455">
        <f>_xlfn.RANK.EQ(Data!J455,Data!J455:J954,1)</f>
        <v>12</v>
      </c>
    </row>
    <row r="456" spans="1:11" x14ac:dyDescent="0.25">
      <c r="A456" s="2">
        <v>1456</v>
      </c>
      <c r="B456" s="3">
        <v>45747</v>
      </c>
      <c r="C456" s="2" t="s">
        <v>18</v>
      </c>
      <c r="D456" s="2" t="s">
        <v>29</v>
      </c>
      <c r="E456" s="2" t="s">
        <v>16</v>
      </c>
      <c r="F456" s="2" t="s">
        <v>35</v>
      </c>
      <c r="G456" s="2">
        <v>9</v>
      </c>
      <c r="H456" s="2">
        <v>50</v>
      </c>
      <c r="I456" s="2">
        <v>0.1</v>
      </c>
      <c r="J456" s="2">
        <f t="shared" si="7"/>
        <v>405</v>
      </c>
      <c r="K456">
        <f>_xlfn.RANK.EQ(Data!J456,Data!J456:J955,1)</f>
        <v>10</v>
      </c>
    </row>
    <row r="457" spans="1:11" x14ac:dyDescent="0.25">
      <c r="A457" s="2">
        <v>1457</v>
      </c>
      <c r="B457" s="3">
        <v>45748</v>
      </c>
      <c r="C457" s="2" t="s">
        <v>22</v>
      </c>
      <c r="D457" s="2" t="s">
        <v>31</v>
      </c>
      <c r="E457" s="2" t="s">
        <v>20</v>
      </c>
      <c r="F457" s="2" t="s">
        <v>36</v>
      </c>
      <c r="G457" s="2">
        <v>12</v>
      </c>
      <c r="H457" s="2">
        <v>30</v>
      </c>
      <c r="I457" s="2">
        <v>0.15</v>
      </c>
      <c r="J457" s="2">
        <f t="shared" si="7"/>
        <v>306</v>
      </c>
      <c r="K457">
        <f>_xlfn.RANK.EQ(Data!J457,Data!J457:J956,1)</f>
        <v>8</v>
      </c>
    </row>
    <row r="458" spans="1:11" x14ac:dyDescent="0.25">
      <c r="A458" s="2">
        <v>1458</v>
      </c>
      <c r="B458" s="3">
        <v>45749</v>
      </c>
      <c r="C458" s="2" t="s">
        <v>10</v>
      </c>
      <c r="D458" s="2" t="s">
        <v>11</v>
      </c>
      <c r="E458" s="2" t="s">
        <v>12</v>
      </c>
      <c r="F458" s="2" t="s">
        <v>13</v>
      </c>
      <c r="G458" s="2">
        <v>15</v>
      </c>
      <c r="H458" s="2">
        <v>50000</v>
      </c>
      <c r="I458" s="2">
        <v>0</v>
      </c>
      <c r="J458" s="2">
        <f t="shared" si="7"/>
        <v>750000</v>
      </c>
      <c r="K458">
        <f>_xlfn.RANK.EQ(Data!J458,Data!J458:J957,1)</f>
        <v>44</v>
      </c>
    </row>
    <row r="459" spans="1:11" x14ac:dyDescent="0.25">
      <c r="A459" s="2">
        <v>1459</v>
      </c>
      <c r="B459" s="3">
        <v>45750</v>
      </c>
      <c r="C459" s="2" t="s">
        <v>14</v>
      </c>
      <c r="D459" s="2" t="s">
        <v>15</v>
      </c>
      <c r="E459" s="2" t="s">
        <v>16</v>
      </c>
      <c r="F459" s="2" t="s">
        <v>17</v>
      </c>
      <c r="G459" s="2">
        <v>18</v>
      </c>
      <c r="H459" s="2">
        <v>500</v>
      </c>
      <c r="I459" s="2">
        <v>0.05</v>
      </c>
      <c r="J459" s="2">
        <f t="shared" si="7"/>
        <v>8550</v>
      </c>
      <c r="K459">
        <f>_xlfn.RANK.EQ(Data!J459,Data!J459:J958,1)</f>
        <v>17</v>
      </c>
    </row>
    <row r="460" spans="1:11" x14ac:dyDescent="0.25">
      <c r="A460" s="2">
        <v>1460</v>
      </c>
      <c r="B460" s="3">
        <v>45751</v>
      </c>
      <c r="C460" s="2" t="s">
        <v>18</v>
      </c>
      <c r="D460" s="2" t="s">
        <v>19</v>
      </c>
      <c r="E460" s="2" t="s">
        <v>20</v>
      </c>
      <c r="F460" s="2" t="s">
        <v>21</v>
      </c>
      <c r="G460" s="2">
        <v>1</v>
      </c>
      <c r="H460" s="2">
        <v>1500</v>
      </c>
      <c r="I460" s="2">
        <v>0.1</v>
      </c>
      <c r="J460" s="2">
        <f t="shared" si="7"/>
        <v>1350</v>
      </c>
      <c r="K460">
        <f>_xlfn.RANK.EQ(Data!J460,Data!J460:J959,1)</f>
        <v>12</v>
      </c>
    </row>
    <row r="461" spans="1:11" x14ac:dyDescent="0.25">
      <c r="A461" s="2">
        <v>1461</v>
      </c>
      <c r="B461" s="3">
        <v>45752</v>
      </c>
      <c r="C461" s="2" t="s">
        <v>22</v>
      </c>
      <c r="D461" s="2" t="s">
        <v>23</v>
      </c>
      <c r="E461" s="2" t="s">
        <v>12</v>
      </c>
      <c r="F461" s="2" t="s">
        <v>24</v>
      </c>
      <c r="G461" s="2">
        <v>4</v>
      </c>
      <c r="H461" s="2">
        <v>12000</v>
      </c>
      <c r="I461" s="2">
        <v>0.15</v>
      </c>
      <c r="J461" s="2">
        <f t="shared" si="7"/>
        <v>40800</v>
      </c>
      <c r="K461">
        <f>_xlfn.RANK.EQ(Data!J461,Data!J461:J960,1)</f>
        <v>24</v>
      </c>
    </row>
    <row r="462" spans="1:11" x14ac:dyDescent="0.25">
      <c r="A462" s="2">
        <v>1462</v>
      </c>
      <c r="B462" s="3">
        <v>45753</v>
      </c>
      <c r="C462" s="2" t="s">
        <v>10</v>
      </c>
      <c r="D462" s="2" t="s">
        <v>25</v>
      </c>
      <c r="E462" s="2" t="s">
        <v>16</v>
      </c>
      <c r="F462" s="2" t="s">
        <v>26</v>
      </c>
      <c r="G462" s="2">
        <v>7</v>
      </c>
      <c r="H462" s="2">
        <v>4000</v>
      </c>
      <c r="I462" s="2">
        <v>0</v>
      </c>
      <c r="J462" s="2">
        <f t="shared" si="7"/>
        <v>28000</v>
      </c>
      <c r="K462">
        <f>_xlfn.RANK.EQ(Data!J462,Data!J462:J961,1)</f>
        <v>23</v>
      </c>
    </row>
    <row r="463" spans="1:11" x14ac:dyDescent="0.25">
      <c r="A463" s="2">
        <v>1463</v>
      </c>
      <c r="B463" s="3">
        <v>45754</v>
      </c>
      <c r="C463" s="2" t="s">
        <v>14</v>
      </c>
      <c r="D463" s="2" t="s">
        <v>27</v>
      </c>
      <c r="E463" s="2" t="s">
        <v>20</v>
      </c>
      <c r="F463" s="2" t="s">
        <v>28</v>
      </c>
      <c r="G463" s="2">
        <v>10</v>
      </c>
      <c r="H463" s="2">
        <v>8000</v>
      </c>
      <c r="I463" s="2">
        <v>0.05</v>
      </c>
      <c r="J463" s="2">
        <f t="shared" si="7"/>
        <v>76000</v>
      </c>
      <c r="K463">
        <f>_xlfn.RANK.EQ(Data!J463,Data!J463:J962,1)</f>
        <v>28</v>
      </c>
    </row>
    <row r="464" spans="1:11" x14ac:dyDescent="0.25">
      <c r="A464" s="2">
        <v>1464</v>
      </c>
      <c r="B464" s="3">
        <v>45755</v>
      </c>
      <c r="C464" s="2" t="s">
        <v>18</v>
      </c>
      <c r="D464" s="2" t="s">
        <v>29</v>
      </c>
      <c r="E464" s="2" t="s">
        <v>12</v>
      </c>
      <c r="F464" s="2" t="s">
        <v>30</v>
      </c>
      <c r="G464" s="2">
        <v>13</v>
      </c>
      <c r="H464" s="2">
        <v>10000</v>
      </c>
      <c r="I464" s="2">
        <v>0.1</v>
      </c>
      <c r="J464" s="2">
        <f t="shared" si="7"/>
        <v>117000</v>
      </c>
      <c r="K464">
        <f>_xlfn.RANK.EQ(Data!J464,Data!J464:J963,1)</f>
        <v>31</v>
      </c>
    </row>
    <row r="465" spans="1:11" x14ac:dyDescent="0.25">
      <c r="A465" s="2">
        <v>1465</v>
      </c>
      <c r="B465" s="3">
        <v>45756</v>
      </c>
      <c r="C465" s="2" t="s">
        <v>22</v>
      </c>
      <c r="D465" s="2" t="s">
        <v>31</v>
      </c>
      <c r="E465" s="2" t="s">
        <v>16</v>
      </c>
      <c r="F465" s="2" t="s">
        <v>32</v>
      </c>
      <c r="G465" s="2">
        <v>16</v>
      </c>
      <c r="H465" s="2">
        <v>6000</v>
      </c>
      <c r="I465" s="2">
        <v>0.15</v>
      </c>
      <c r="J465" s="2">
        <f t="shared" si="7"/>
        <v>81600</v>
      </c>
      <c r="K465">
        <f>_xlfn.RANK.EQ(Data!J465,Data!J465:J964,1)</f>
        <v>30</v>
      </c>
    </row>
    <row r="466" spans="1:11" x14ac:dyDescent="0.25">
      <c r="A466" s="2">
        <v>1466</v>
      </c>
      <c r="B466" s="3">
        <v>45757</v>
      </c>
      <c r="C466" s="2" t="s">
        <v>10</v>
      </c>
      <c r="D466" s="2" t="s">
        <v>11</v>
      </c>
      <c r="E466" s="2" t="s">
        <v>20</v>
      </c>
      <c r="F466" s="2" t="s">
        <v>33</v>
      </c>
      <c r="G466" s="2">
        <v>19</v>
      </c>
      <c r="H466" s="2">
        <v>20</v>
      </c>
      <c r="I466" s="2">
        <v>0</v>
      </c>
      <c r="J466" s="2">
        <f t="shared" si="7"/>
        <v>380</v>
      </c>
      <c r="K466">
        <f>_xlfn.RANK.EQ(Data!J466,Data!J466:J965,1)</f>
        <v>8</v>
      </c>
    </row>
    <row r="467" spans="1:11" x14ac:dyDescent="0.25">
      <c r="A467" s="2">
        <v>1467</v>
      </c>
      <c r="B467" s="3">
        <v>45758</v>
      </c>
      <c r="C467" s="2" t="s">
        <v>14</v>
      </c>
      <c r="D467" s="2" t="s">
        <v>15</v>
      </c>
      <c r="E467" s="2" t="s">
        <v>12</v>
      </c>
      <c r="F467" s="2" t="s">
        <v>34</v>
      </c>
      <c r="G467" s="2">
        <v>2</v>
      </c>
      <c r="H467" s="2">
        <v>100</v>
      </c>
      <c r="I467" s="2">
        <v>0.05</v>
      </c>
      <c r="J467" s="2">
        <f t="shared" si="7"/>
        <v>190</v>
      </c>
      <c r="K467">
        <f>_xlfn.RANK.EQ(Data!J467,Data!J467:J966,1)</f>
        <v>3</v>
      </c>
    </row>
    <row r="468" spans="1:11" x14ac:dyDescent="0.25">
      <c r="A468" s="2">
        <v>1468</v>
      </c>
      <c r="B468" s="3">
        <v>45759</v>
      </c>
      <c r="C468" s="2" t="s">
        <v>18</v>
      </c>
      <c r="D468" s="2" t="s">
        <v>19</v>
      </c>
      <c r="E468" s="2" t="s">
        <v>16</v>
      </c>
      <c r="F468" s="2" t="s">
        <v>35</v>
      </c>
      <c r="G468" s="2">
        <v>5</v>
      </c>
      <c r="H468" s="2">
        <v>50</v>
      </c>
      <c r="I468" s="2">
        <v>0.1</v>
      </c>
      <c r="J468" s="2">
        <f t="shared" si="7"/>
        <v>225</v>
      </c>
      <c r="K468">
        <f>_xlfn.RANK.EQ(Data!J468,Data!J468:J967,1)</f>
        <v>5</v>
      </c>
    </row>
    <row r="469" spans="1:11" x14ac:dyDescent="0.25">
      <c r="A469" s="2">
        <v>1469</v>
      </c>
      <c r="B469" s="3">
        <v>45760</v>
      </c>
      <c r="C469" s="2" t="s">
        <v>22</v>
      </c>
      <c r="D469" s="2" t="s">
        <v>23</v>
      </c>
      <c r="E469" s="2" t="s">
        <v>20</v>
      </c>
      <c r="F469" s="2" t="s">
        <v>36</v>
      </c>
      <c r="G469" s="2">
        <v>8</v>
      </c>
      <c r="H469" s="2">
        <v>30</v>
      </c>
      <c r="I469" s="2">
        <v>0.15</v>
      </c>
      <c r="J469" s="2">
        <f t="shared" si="7"/>
        <v>204</v>
      </c>
      <c r="K469">
        <f>_xlfn.RANK.EQ(Data!J469,Data!J469:J968,1)</f>
        <v>3</v>
      </c>
    </row>
    <row r="470" spans="1:11" x14ac:dyDescent="0.25">
      <c r="A470" s="2">
        <v>1470</v>
      </c>
      <c r="B470" s="3">
        <v>45761</v>
      </c>
      <c r="C470" s="2" t="s">
        <v>10</v>
      </c>
      <c r="D470" s="2" t="s">
        <v>25</v>
      </c>
      <c r="E470" s="2" t="s">
        <v>12</v>
      </c>
      <c r="F470" s="2" t="s">
        <v>13</v>
      </c>
      <c r="G470" s="2">
        <v>11</v>
      </c>
      <c r="H470" s="2">
        <v>50000</v>
      </c>
      <c r="I470" s="2">
        <v>0</v>
      </c>
      <c r="J470" s="2">
        <f t="shared" si="7"/>
        <v>550000</v>
      </c>
      <c r="K470">
        <f>_xlfn.RANK.EQ(Data!J470,Data!J470:J969,1)</f>
        <v>32</v>
      </c>
    </row>
    <row r="471" spans="1:11" x14ac:dyDescent="0.25">
      <c r="A471" s="2">
        <v>1471</v>
      </c>
      <c r="B471" s="3">
        <v>45762</v>
      </c>
      <c r="C471" s="2" t="s">
        <v>14</v>
      </c>
      <c r="D471" s="2" t="s">
        <v>27</v>
      </c>
      <c r="E471" s="2" t="s">
        <v>16</v>
      </c>
      <c r="F471" s="2" t="s">
        <v>17</v>
      </c>
      <c r="G471" s="2">
        <v>14</v>
      </c>
      <c r="H471" s="2">
        <v>500</v>
      </c>
      <c r="I471" s="2">
        <v>0.05</v>
      </c>
      <c r="J471" s="2">
        <f t="shared" si="7"/>
        <v>6650</v>
      </c>
      <c r="K471">
        <f>_xlfn.RANK.EQ(Data!J471,Data!J471:J970,1)</f>
        <v>11</v>
      </c>
    </row>
    <row r="472" spans="1:11" x14ac:dyDescent="0.25">
      <c r="A472" s="2">
        <v>1472</v>
      </c>
      <c r="B472" s="3">
        <v>45763</v>
      </c>
      <c r="C472" s="2" t="s">
        <v>18</v>
      </c>
      <c r="D472" s="2" t="s">
        <v>29</v>
      </c>
      <c r="E472" s="2" t="s">
        <v>20</v>
      </c>
      <c r="F472" s="2" t="s">
        <v>21</v>
      </c>
      <c r="G472" s="2">
        <v>17</v>
      </c>
      <c r="H472" s="2">
        <v>1500</v>
      </c>
      <c r="I472" s="2">
        <v>0.1</v>
      </c>
      <c r="J472" s="2">
        <f t="shared" si="7"/>
        <v>22950</v>
      </c>
      <c r="K472">
        <f>_xlfn.RANK.EQ(Data!J472,Data!J472:J971,1)</f>
        <v>17</v>
      </c>
    </row>
    <row r="473" spans="1:11" x14ac:dyDescent="0.25">
      <c r="A473" s="2">
        <v>1473</v>
      </c>
      <c r="B473" s="3">
        <v>45764</v>
      </c>
      <c r="C473" s="2" t="s">
        <v>22</v>
      </c>
      <c r="D473" s="2" t="s">
        <v>31</v>
      </c>
      <c r="E473" s="2" t="s">
        <v>12</v>
      </c>
      <c r="F473" s="2" t="s">
        <v>24</v>
      </c>
      <c r="G473" s="2">
        <v>20</v>
      </c>
      <c r="H473" s="2">
        <v>12000</v>
      </c>
      <c r="I473" s="2">
        <v>0.15</v>
      </c>
      <c r="J473" s="2">
        <f t="shared" si="7"/>
        <v>204000</v>
      </c>
      <c r="K473">
        <f>_xlfn.RANK.EQ(Data!J473,Data!J473:J972,1)</f>
        <v>28</v>
      </c>
    </row>
    <row r="474" spans="1:11" x14ac:dyDescent="0.25">
      <c r="A474" s="2">
        <v>1474</v>
      </c>
      <c r="B474" s="3">
        <v>45765</v>
      </c>
      <c r="C474" s="2" t="s">
        <v>10</v>
      </c>
      <c r="D474" s="2" t="s">
        <v>11</v>
      </c>
      <c r="E474" s="2" t="s">
        <v>16</v>
      </c>
      <c r="F474" s="2" t="s">
        <v>26</v>
      </c>
      <c r="G474" s="2">
        <v>3</v>
      </c>
      <c r="H474" s="2">
        <v>4000</v>
      </c>
      <c r="I474" s="2">
        <v>0</v>
      </c>
      <c r="J474" s="2">
        <f t="shared" si="7"/>
        <v>12000</v>
      </c>
      <c r="K474">
        <f>_xlfn.RANK.EQ(Data!J474,Data!J474:J973,1)</f>
        <v>12</v>
      </c>
    </row>
    <row r="475" spans="1:11" x14ac:dyDescent="0.25">
      <c r="A475" s="2">
        <v>1475</v>
      </c>
      <c r="B475" s="3">
        <v>45766</v>
      </c>
      <c r="C475" s="2" t="s">
        <v>14</v>
      </c>
      <c r="D475" s="2" t="s">
        <v>15</v>
      </c>
      <c r="E475" s="2" t="s">
        <v>20</v>
      </c>
      <c r="F475" s="2" t="s">
        <v>28</v>
      </c>
      <c r="G475" s="2">
        <v>6</v>
      </c>
      <c r="H475" s="2">
        <v>8000</v>
      </c>
      <c r="I475" s="2">
        <v>0.05</v>
      </c>
      <c r="J475" s="2">
        <f t="shared" si="7"/>
        <v>45600</v>
      </c>
      <c r="K475">
        <f>_xlfn.RANK.EQ(Data!J475,Data!J475:J974,1)</f>
        <v>18</v>
      </c>
    </row>
    <row r="476" spans="1:11" x14ac:dyDescent="0.25">
      <c r="A476" s="2">
        <v>1476</v>
      </c>
      <c r="B476" s="3">
        <v>45767</v>
      </c>
      <c r="C476" s="2" t="s">
        <v>18</v>
      </c>
      <c r="D476" s="2" t="s">
        <v>19</v>
      </c>
      <c r="E476" s="2" t="s">
        <v>12</v>
      </c>
      <c r="F476" s="2" t="s">
        <v>30</v>
      </c>
      <c r="G476" s="2">
        <v>9</v>
      </c>
      <c r="H476" s="2">
        <v>10000</v>
      </c>
      <c r="I476" s="2">
        <v>0.1</v>
      </c>
      <c r="J476" s="2">
        <f t="shared" si="7"/>
        <v>81000</v>
      </c>
      <c r="K476">
        <f>_xlfn.RANK.EQ(Data!J476,Data!J476:J975,1)</f>
        <v>21</v>
      </c>
    </row>
    <row r="477" spans="1:11" x14ac:dyDescent="0.25">
      <c r="A477" s="2">
        <v>1477</v>
      </c>
      <c r="B477" s="3">
        <v>45768</v>
      </c>
      <c r="C477" s="2" t="s">
        <v>22</v>
      </c>
      <c r="D477" s="2" t="s">
        <v>23</v>
      </c>
      <c r="E477" s="2" t="s">
        <v>16</v>
      </c>
      <c r="F477" s="2" t="s">
        <v>32</v>
      </c>
      <c r="G477" s="2">
        <v>12</v>
      </c>
      <c r="H477" s="2">
        <v>6000</v>
      </c>
      <c r="I477" s="2">
        <v>0.15</v>
      </c>
      <c r="J477" s="2">
        <f t="shared" si="7"/>
        <v>61200</v>
      </c>
      <c r="K477">
        <f>_xlfn.RANK.EQ(Data!J477,Data!J477:J976,1)</f>
        <v>19</v>
      </c>
    </row>
    <row r="478" spans="1:11" x14ac:dyDescent="0.25">
      <c r="A478" s="2">
        <v>1478</v>
      </c>
      <c r="B478" s="3">
        <v>45769</v>
      </c>
      <c r="C478" s="2" t="s">
        <v>10</v>
      </c>
      <c r="D478" s="2" t="s">
        <v>25</v>
      </c>
      <c r="E478" s="2" t="s">
        <v>20</v>
      </c>
      <c r="F478" s="2" t="s">
        <v>33</v>
      </c>
      <c r="G478" s="2">
        <v>15</v>
      </c>
      <c r="H478" s="2">
        <v>20</v>
      </c>
      <c r="I478" s="2">
        <v>0</v>
      </c>
      <c r="J478" s="2">
        <f t="shared" si="7"/>
        <v>300</v>
      </c>
      <c r="K478">
        <f>_xlfn.RANK.EQ(Data!J478,Data!J478:J977,1)</f>
        <v>4</v>
      </c>
    </row>
    <row r="479" spans="1:11" x14ac:dyDescent="0.25">
      <c r="A479" s="2">
        <v>1479</v>
      </c>
      <c r="B479" s="3">
        <v>45770</v>
      </c>
      <c r="C479" s="2" t="s">
        <v>14</v>
      </c>
      <c r="D479" s="2" t="s">
        <v>27</v>
      </c>
      <c r="E479" s="2" t="s">
        <v>12</v>
      </c>
      <c r="F479" s="2" t="s">
        <v>34</v>
      </c>
      <c r="G479" s="2">
        <v>18</v>
      </c>
      <c r="H479" s="2">
        <v>100</v>
      </c>
      <c r="I479" s="2">
        <v>0.05</v>
      </c>
      <c r="J479" s="2">
        <f t="shared" si="7"/>
        <v>1710</v>
      </c>
      <c r="K479">
        <f>_xlfn.RANK.EQ(Data!J479,Data!J479:J978,1)</f>
        <v>7</v>
      </c>
    </row>
    <row r="480" spans="1:11" x14ac:dyDescent="0.25">
      <c r="A480" s="2">
        <v>1480</v>
      </c>
      <c r="B480" s="3">
        <v>45771</v>
      </c>
      <c r="C480" s="2" t="s">
        <v>18</v>
      </c>
      <c r="D480" s="2" t="s">
        <v>29</v>
      </c>
      <c r="E480" s="2" t="s">
        <v>16</v>
      </c>
      <c r="F480" s="2" t="s">
        <v>35</v>
      </c>
      <c r="G480" s="2">
        <v>1</v>
      </c>
      <c r="H480" s="2">
        <v>50</v>
      </c>
      <c r="I480" s="2">
        <v>0.1</v>
      </c>
      <c r="J480" s="2">
        <f t="shared" si="7"/>
        <v>45</v>
      </c>
      <c r="K480">
        <f>_xlfn.RANK.EQ(Data!J480,Data!J480:J979,1)</f>
        <v>1</v>
      </c>
    </row>
    <row r="481" spans="1:11" x14ac:dyDescent="0.25">
      <c r="A481" s="2">
        <v>1481</v>
      </c>
      <c r="B481" s="3">
        <v>45772</v>
      </c>
      <c r="C481" s="2" t="s">
        <v>22</v>
      </c>
      <c r="D481" s="2" t="s">
        <v>31</v>
      </c>
      <c r="E481" s="2" t="s">
        <v>20</v>
      </c>
      <c r="F481" s="2" t="s">
        <v>36</v>
      </c>
      <c r="G481" s="2">
        <v>4</v>
      </c>
      <c r="H481" s="2">
        <v>30</v>
      </c>
      <c r="I481" s="2">
        <v>0.15</v>
      </c>
      <c r="J481" s="2">
        <f t="shared" si="7"/>
        <v>102</v>
      </c>
      <c r="K481">
        <f>_xlfn.RANK.EQ(Data!J481,Data!J481:J980,1)</f>
        <v>1</v>
      </c>
    </row>
    <row r="482" spans="1:11" x14ac:dyDescent="0.25">
      <c r="A482" s="2">
        <v>1482</v>
      </c>
      <c r="B482" s="3">
        <v>45773</v>
      </c>
      <c r="C482" s="2" t="s">
        <v>10</v>
      </c>
      <c r="D482" s="2" t="s">
        <v>11</v>
      </c>
      <c r="E482" s="2" t="s">
        <v>12</v>
      </c>
      <c r="F482" s="2" t="s">
        <v>13</v>
      </c>
      <c r="G482" s="2">
        <v>7</v>
      </c>
      <c r="H482" s="2">
        <v>50000</v>
      </c>
      <c r="I482" s="2">
        <v>0</v>
      </c>
      <c r="J482" s="2">
        <f t="shared" si="7"/>
        <v>350000</v>
      </c>
      <c r="K482">
        <f>_xlfn.RANK.EQ(Data!J482,Data!J482:J981,1)</f>
        <v>20</v>
      </c>
    </row>
    <row r="483" spans="1:11" x14ac:dyDescent="0.25">
      <c r="A483" s="2">
        <v>1483</v>
      </c>
      <c r="B483" s="3">
        <v>45774</v>
      </c>
      <c r="C483" s="2" t="s">
        <v>14</v>
      </c>
      <c r="D483" s="2" t="s">
        <v>15</v>
      </c>
      <c r="E483" s="2" t="s">
        <v>16</v>
      </c>
      <c r="F483" s="2" t="s">
        <v>17</v>
      </c>
      <c r="G483" s="2">
        <v>10</v>
      </c>
      <c r="H483" s="2">
        <v>500</v>
      </c>
      <c r="I483" s="2">
        <v>0.05</v>
      </c>
      <c r="J483" s="2">
        <f t="shared" si="7"/>
        <v>4750</v>
      </c>
      <c r="K483">
        <f>_xlfn.RANK.EQ(Data!J483,Data!J483:J982,1)</f>
        <v>6</v>
      </c>
    </row>
    <row r="484" spans="1:11" x14ac:dyDescent="0.25">
      <c r="A484" s="2">
        <v>1484</v>
      </c>
      <c r="B484" s="3">
        <v>45775</v>
      </c>
      <c r="C484" s="2" t="s">
        <v>18</v>
      </c>
      <c r="D484" s="2" t="s">
        <v>19</v>
      </c>
      <c r="E484" s="2" t="s">
        <v>20</v>
      </c>
      <c r="F484" s="2" t="s">
        <v>21</v>
      </c>
      <c r="G484" s="2">
        <v>13</v>
      </c>
      <c r="H484" s="2">
        <v>1500</v>
      </c>
      <c r="I484" s="2">
        <v>0.1</v>
      </c>
      <c r="J484" s="2">
        <f t="shared" si="7"/>
        <v>17550</v>
      </c>
      <c r="K484">
        <f>_xlfn.RANK.EQ(Data!J484,Data!J484:J983,1)</f>
        <v>9</v>
      </c>
    </row>
    <row r="485" spans="1:11" x14ac:dyDescent="0.25">
      <c r="A485" s="2">
        <v>1485</v>
      </c>
      <c r="B485" s="3">
        <v>45776</v>
      </c>
      <c r="C485" s="2" t="s">
        <v>22</v>
      </c>
      <c r="D485" s="2" t="s">
        <v>23</v>
      </c>
      <c r="E485" s="2" t="s">
        <v>12</v>
      </c>
      <c r="F485" s="2" t="s">
        <v>24</v>
      </c>
      <c r="G485" s="2">
        <v>16</v>
      </c>
      <c r="H485" s="2">
        <v>12000</v>
      </c>
      <c r="I485" s="2">
        <v>0.15</v>
      </c>
      <c r="J485" s="2">
        <f t="shared" si="7"/>
        <v>163200</v>
      </c>
      <c r="K485">
        <f>_xlfn.RANK.EQ(Data!J485,Data!J485:J984,1)</f>
        <v>17</v>
      </c>
    </row>
    <row r="486" spans="1:11" x14ac:dyDescent="0.25">
      <c r="A486" s="2">
        <v>1486</v>
      </c>
      <c r="B486" s="3">
        <v>45777</v>
      </c>
      <c r="C486" s="2" t="s">
        <v>10</v>
      </c>
      <c r="D486" s="2" t="s">
        <v>25</v>
      </c>
      <c r="E486" s="2" t="s">
        <v>16</v>
      </c>
      <c r="F486" s="2" t="s">
        <v>26</v>
      </c>
      <c r="G486" s="2">
        <v>19</v>
      </c>
      <c r="H486" s="2">
        <v>4000</v>
      </c>
      <c r="I486" s="2">
        <v>0</v>
      </c>
      <c r="J486" s="2">
        <f t="shared" si="7"/>
        <v>76000</v>
      </c>
      <c r="K486">
        <f>_xlfn.RANK.EQ(Data!J486,Data!J486:J985,1)</f>
        <v>13</v>
      </c>
    </row>
    <row r="487" spans="1:11" x14ac:dyDescent="0.25">
      <c r="A487" s="2">
        <v>1487</v>
      </c>
      <c r="B487" s="3">
        <v>45778</v>
      </c>
      <c r="C487" s="2" t="s">
        <v>14</v>
      </c>
      <c r="D487" s="2" t="s">
        <v>27</v>
      </c>
      <c r="E487" s="2" t="s">
        <v>20</v>
      </c>
      <c r="F487" s="2" t="s">
        <v>28</v>
      </c>
      <c r="G487" s="2">
        <v>2</v>
      </c>
      <c r="H487" s="2">
        <v>8000</v>
      </c>
      <c r="I487" s="2">
        <v>0.05</v>
      </c>
      <c r="J487" s="2">
        <f t="shared" si="7"/>
        <v>15200</v>
      </c>
      <c r="K487">
        <f>_xlfn.RANK.EQ(Data!J487,Data!J487:J986,1)</f>
        <v>8</v>
      </c>
    </row>
    <row r="488" spans="1:11" x14ac:dyDescent="0.25">
      <c r="A488" s="2">
        <v>1488</v>
      </c>
      <c r="B488" s="3">
        <v>45779</v>
      </c>
      <c r="C488" s="2" t="s">
        <v>18</v>
      </c>
      <c r="D488" s="2" t="s">
        <v>29</v>
      </c>
      <c r="E488" s="2" t="s">
        <v>12</v>
      </c>
      <c r="F488" s="2" t="s">
        <v>30</v>
      </c>
      <c r="G488" s="2">
        <v>5</v>
      </c>
      <c r="H488" s="2">
        <v>10000</v>
      </c>
      <c r="I488" s="2">
        <v>0.1</v>
      </c>
      <c r="J488" s="2">
        <f t="shared" si="7"/>
        <v>45000</v>
      </c>
      <c r="K488">
        <f>_xlfn.RANK.EQ(Data!J488,Data!J488:J987,1)</f>
        <v>10</v>
      </c>
    </row>
    <row r="489" spans="1:11" x14ac:dyDescent="0.25">
      <c r="A489" s="2">
        <v>1489</v>
      </c>
      <c r="B489" s="3">
        <v>45780</v>
      </c>
      <c r="C489" s="2" t="s">
        <v>22</v>
      </c>
      <c r="D489" s="2" t="s">
        <v>31</v>
      </c>
      <c r="E489" s="2" t="s">
        <v>16</v>
      </c>
      <c r="F489" s="2" t="s">
        <v>32</v>
      </c>
      <c r="G489" s="2">
        <v>8</v>
      </c>
      <c r="H489" s="2">
        <v>6000</v>
      </c>
      <c r="I489" s="2">
        <v>0.15</v>
      </c>
      <c r="J489" s="2">
        <f t="shared" si="7"/>
        <v>40800</v>
      </c>
      <c r="K489">
        <f>_xlfn.RANK.EQ(Data!J489,Data!J489:J988,1)</f>
        <v>9</v>
      </c>
    </row>
    <row r="490" spans="1:11" x14ac:dyDescent="0.25">
      <c r="A490" s="2">
        <v>1490</v>
      </c>
      <c r="B490" s="3">
        <v>45781</v>
      </c>
      <c r="C490" s="2" t="s">
        <v>10</v>
      </c>
      <c r="D490" s="2" t="s">
        <v>11</v>
      </c>
      <c r="E490" s="2" t="s">
        <v>20</v>
      </c>
      <c r="F490" s="2" t="s">
        <v>33</v>
      </c>
      <c r="G490" s="2">
        <v>11</v>
      </c>
      <c r="H490" s="2">
        <v>20</v>
      </c>
      <c r="I490" s="2">
        <v>0</v>
      </c>
      <c r="J490" s="2">
        <f t="shared" si="7"/>
        <v>220</v>
      </c>
      <c r="K490">
        <f>_xlfn.RANK.EQ(Data!J490,Data!J490:J989,1)</f>
        <v>1</v>
      </c>
    </row>
    <row r="491" spans="1:11" x14ac:dyDescent="0.25">
      <c r="A491" s="2">
        <v>1491</v>
      </c>
      <c r="B491" s="3">
        <v>45782</v>
      </c>
      <c r="C491" s="2" t="s">
        <v>14</v>
      </c>
      <c r="D491" s="2" t="s">
        <v>15</v>
      </c>
      <c r="E491" s="2" t="s">
        <v>12</v>
      </c>
      <c r="F491" s="2" t="s">
        <v>34</v>
      </c>
      <c r="G491" s="2">
        <v>14</v>
      </c>
      <c r="H491" s="2">
        <v>100</v>
      </c>
      <c r="I491" s="2">
        <v>0.05</v>
      </c>
      <c r="J491" s="2">
        <f t="shared" si="7"/>
        <v>1330</v>
      </c>
      <c r="K491">
        <f>_xlfn.RANK.EQ(Data!J491,Data!J491:J990,1)</f>
        <v>3</v>
      </c>
    </row>
    <row r="492" spans="1:11" x14ac:dyDescent="0.25">
      <c r="A492" s="2">
        <v>1492</v>
      </c>
      <c r="B492" s="3">
        <v>45783</v>
      </c>
      <c r="C492" s="2" t="s">
        <v>18</v>
      </c>
      <c r="D492" s="2" t="s">
        <v>19</v>
      </c>
      <c r="E492" s="2" t="s">
        <v>16</v>
      </c>
      <c r="F492" s="2" t="s">
        <v>35</v>
      </c>
      <c r="G492" s="2">
        <v>17</v>
      </c>
      <c r="H492" s="2">
        <v>50</v>
      </c>
      <c r="I492" s="2">
        <v>0.1</v>
      </c>
      <c r="J492" s="2">
        <f t="shared" si="7"/>
        <v>765</v>
      </c>
      <c r="K492">
        <f>_xlfn.RANK.EQ(Data!J492,Data!J492:J991,1)</f>
        <v>2</v>
      </c>
    </row>
    <row r="493" spans="1:11" x14ac:dyDescent="0.25">
      <c r="A493" s="2">
        <v>1493</v>
      </c>
      <c r="B493" s="3">
        <v>45784</v>
      </c>
      <c r="C493" s="2" t="s">
        <v>22</v>
      </c>
      <c r="D493" s="2" t="s">
        <v>23</v>
      </c>
      <c r="E493" s="2" t="s">
        <v>20</v>
      </c>
      <c r="F493" s="2" t="s">
        <v>36</v>
      </c>
      <c r="G493" s="2">
        <v>20</v>
      </c>
      <c r="H493" s="2">
        <v>30</v>
      </c>
      <c r="I493" s="2">
        <v>0.15</v>
      </c>
      <c r="J493" s="2">
        <f t="shared" si="7"/>
        <v>510</v>
      </c>
      <c r="K493">
        <f>_xlfn.RANK.EQ(Data!J493,Data!J493:J992,1)</f>
        <v>1</v>
      </c>
    </row>
    <row r="494" spans="1:11" x14ac:dyDescent="0.25">
      <c r="A494" s="2">
        <v>1494</v>
      </c>
      <c r="B494" s="3">
        <v>45785</v>
      </c>
      <c r="C494" s="2" t="s">
        <v>10</v>
      </c>
      <c r="D494" s="2" t="s">
        <v>25</v>
      </c>
      <c r="E494" s="2" t="s">
        <v>12</v>
      </c>
      <c r="F494" s="2" t="s">
        <v>13</v>
      </c>
      <c r="G494" s="2">
        <v>3</v>
      </c>
      <c r="H494" s="2">
        <v>50000</v>
      </c>
      <c r="I494" s="2">
        <v>0</v>
      </c>
      <c r="J494" s="2">
        <f t="shared" si="7"/>
        <v>150000</v>
      </c>
      <c r="K494">
        <f>_xlfn.RANK.EQ(Data!J494,Data!J494:J993,1)</f>
        <v>8</v>
      </c>
    </row>
    <row r="495" spans="1:11" x14ac:dyDescent="0.25">
      <c r="A495" s="2">
        <v>1495</v>
      </c>
      <c r="B495" s="3">
        <v>45786</v>
      </c>
      <c r="C495" s="2" t="s">
        <v>14</v>
      </c>
      <c r="D495" s="2" t="s">
        <v>27</v>
      </c>
      <c r="E495" s="2" t="s">
        <v>16</v>
      </c>
      <c r="F495" s="2" t="s">
        <v>17</v>
      </c>
      <c r="G495" s="2">
        <v>6</v>
      </c>
      <c r="H495" s="2">
        <v>500</v>
      </c>
      <c r="I495" s="2">
        <v>0.05</v>
      </c>
      <c r="J495" s="2">
        <f t="shared" si="7"/>
        <v>2850</v>
      </c>
      <c r="K495">
        <f>_xlfn.RANK.EQ(Data!J495,Data!J495:J994,1)</f>
        <v>1</v>
      </c>
    </row>
    <row r="496" spans="1:11" x14ac:dyDescent="0.25">
      <c r="A496" s="2">
        <v>1496</v>
      </c>
      <c r="B496" s="3">
        <v>45787</v>
      </c>
      <c r="C496" s="2" t="s">
        <v>18</v>
      </c>
      <c r="D496" s="2" t="s">
        <v>29</v>
      </c>
      <c r="E496" s="2" t="s">
        <v>20</v>
      </c>
      <c r="F496" s="2" t="s">
        <v>21</v>
      </c>
      <c r="G496" s="2">
        <v>9</v>
      </c>
      <c r="H496" s="2">
        <v>1500</v>
      </c>
      <c r="I496" s="2">
        <v>0.1</v>
      </c>
      <c r="J496" s="2">
        <f t="shared" si="7"/>
        <v>12150</v>
      </c>
      <c r="K496">
        <f>_xlfn.RANK.EQ(Data!J496,Data!J496:J995,1)</f>
        <v>2</v>
      </c>
    </row>
    <row r="497" spans="1:11" x14ac:dyDescent="0.25">
      <c r="A497" s="2">
        <v>1497</v>
      </c>
      <c r="B497" s="3">
        <v>45788</v>
      </c>
      <c r="C497" s="2" t="s">
        <v>22</v>
      </c>
      <c r="D497" s="2" t="s">
        <v>31</v>
      </c>
      <c r="E497" s="2" t="s">
        <v>12</v>
      </c>
      <c r="F497" s="2" t="s">
        <v>24</v>
      </c>
      <c r="G497" s="2">
        <v>12</v>
      </c>
      <c r="H497" s="2">
        <v>12000</v>
      </c>
      <c r="I497" s="2">
        <v>0.15</v>
      </c>
      <c r="J497" s="2">
        <f t="shared" si="7"/>
        <v>122400</v>
      </c>
      <c r="K497">
        <f>_xlfn.RANK.EQ(Data!J497,Data!J497:J996,1)</f>
        <v>4</v>
      </c>
    </row>
    <row r="498" spans="1:11" x14ac:dyDescent="0.25">
      <c r="A498" s="2">
        <v>1498</v>
      </c>
      <c r="B498" s="3">
        <v>45789</v>
      </c>
      <c r="C498" s="2" t="s">
        <v>10</v>
      </c>
      <c r="D498" s="2" t="s">
        <v>11</v>
      </c>
      <c r="E498" s="2" t="s">
        <v>16</v>
      </c>
      <c r="F498" s="2" t="s">
        <v>26</v>
      </c>
      <c r="G498" s="2">
        <v>15</v>
      </c>
      <c r="H498" s="2">
        <v>4000</v>
      </c>
      <c r="I498" s="2">
        <v>0</v>
      </c>
      <c r="J498" s="2">
        <f t="shared" si="7"/>
        <v>60000</v>
      </c>
      <c r="K498">
        <f>_xlfn.RANK.EQ(Data!J498,Data!J498:J997,1)</f>
        <v>3</v>
      </c>
    </row>
    <row r="499" spans="1:11" x14ac:dyDescent="0.25">
      <c r="A499" s="2">
        <v>1499</v>
      </c>
      <c r="B499" s="3">
        <v>45790</v>
      </c>
      <c r="C499" s="2" t="s">
        <v>14</v>
      </c>
      <c r="D499" s="2" t="s">
        <v>15</v>
      </c>
      <c r="E499" s="2" t="s">
        <v>20</v>
      </c>
      <c r="F499" s="2" t="s">
        <v>28</v>
      </c>
      <c r="G499" s="2">
        <v>18</v>
      </c>
      <c r="H499" s="2">
        <v>8000</v>
      </c>
      <c r="I499" s="2">
        <v>0.05</v>
      </c>
      <c r="J499" s="2">
        <f t="shared" si="7"/>
        <v>136800</v>
      </c>
      <c r="K499">
        <f>_xlfn.RANK.EQ(Data!J499,Data!J499:J998,1)</f>
        <v>3</v>
      </c>
    </row>
    <row r="500" spans="1:11" x14ac:dyDescent="0.25">
      <c r="A500" s="2">
        <v>1500</v>
      </c>
      <c r="B500" s="3">
        <v>45791</v>
      </c>
      <c r="C500" s="2" t="s">
        <v>18</v>
      </c>
      <c r="D500" s="2" t="s">
        <v>19</v>
      </c>
      <c r="E500" s="2" t="s">
        <v>12</v>
      </c>
      <c r="F500" s="2" t="s">
        <v>30</v>
      </c>
      <c r="G500" s="2">
        <v>1</v>
      </c>
      <c r="H500" s="2">
        <v>10000</v>
      </c>
      <c r="I500" s="2">
        <v>0.1</v>
      </c>
      <c r="J500" s="2">
        <f t="shared" si="7"/>
        <v>9000</v>
      </c>
      <c r="K500">
        <f>_xlfn.RANK.EQ(Data!J500,Data!J500:J999,1)</f>
        <v>1</v>
      </c>
    </row>
    <row r="501" spans="1:11" x14ac:dyDescent="0.25">
      <c r="A501" s="2">
        <v>1501</v>
      </c>
      <c r="B501" s="3">
        <v>45792</v>
      </c>
      <c r="C501" s="2" t="s">
        <v>22</v>
      </c>
      <c r="D501" s="2" t="s">
        <v>23</v>
      </c>
      <c r="E501" s="2" t="s">
        <v>16</v>
      </c>
      <c r="F501" s="2" t="s">
        <v>32</v>
      </c>
      <c r="G501" s="2">
        <v>4</v>
      </c>
      <c r="H501" s="2">
        <v>6000</v>
      </c>
      <c r="I501" s="2">
        <v>0.15</v>
      </c>
      <c r="J501" s="2">
        <f t="shared" si="7"/>
        <v>20400</v>
      </c>
      <c r="K501">
        <f>_xlfn.RANK.EQ(Data!J501,Data!J501:J1000,1)</f>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tabSelected="1" workbookViewId="0">
      <selection activeCell="E21" sqref="E21"/>
    </sheetView>
  </sheetViews>
  <sheetFormatPr defaultRowHeight="15" x14ac:dyDescent="0.25"/>
  <cols>
    <col min="8" max="8" width="11.28515625" bestFit="1" customWidth="1"/>
    <col min="9" max="9" width="15.5703125" bestFit="1" customWidth="1"/>
  </cols>
  <sheetData>
    <row r="1" spans="1:9" x14ac:dyDescent="0.25">
      <c r="A1" t="s">
        <v>37</v>
      </c>
      <c r="H1" s="4" t="s">
        <v>5</v>
      </c>
      <c r="I1" t="s">
        <v>58</v>
      </c>
    </row>
    <row r="2" spans="1:9" x14ac:dyDescent="0.25">
      <c r="A2" t="s">
        <v>38</v>
      </c>
      <c r="E2">
        <f>SUM(Data!J2:J501)</f>
        <v>39364165</v>
      </c>
      <c r="H2" s="5" t="s">
        <v>35</v>
      </c>
      <c r="I2">
        <v>16965</v>
      </c>
    </row>
    <row r="3" spans="1:9" x14ac:dyDescent="0.25">
      <c r="A3" t="s">
        <v>39</v>
      </c>
      <c r="E3">
        <f>AVERAGE(Data!J2:J501)</f>
        <v>78728.33</v>
      </c>
      <c r="H3" s="5" t="s">
        <v>26</v>
      </c>
      <c r="I3">
        <v>1896000</v>
      </c>
    </row>
    <row r="4" spans="1:9" x14ac:dyDescent="0.25">
      <c r="A4" t="s">
        <v>40</v>
      </c>
      <c r="E4">
        <f>MAX(Data!J2:J501)</f>
        <v>950000</v>
      </c>
      <c r="H4" s="5" t="s">
        <v>17</v>
      </c>
      <c r="I4">
        <v>197600</v>
      </c>
    </row>
    <row r="5" spans="1:9" x14ac:dyDescent="0.25">
      <c r="A5" t="s">
        <v>41</v>
      </c>
      <c r="E5">
        <f>MIN(Data!J2:J501)</f>
        <v>45</v>
      </c>
      <c r="H5" s="5" t="s">
        <v>36</v>
      </c>
      <c r="I5">
        <v>12750</v>
      </c>
    </row>
    <row r="6" spans="1:9" x14ac:dyDescent="0.25">
      <c r="A6" t="s">
        <v>42</v>
      </c>
      <c r="E6">
        <f>SUM(Data!G2:G501)</f>
        <v>5250</v>
      </c>
      <c r="H6" s="5" t="s">
        <v>30</v>
      </c>
      <c r="I6">
        <v>3294000</v>
      </c>
    </row>
    <row r="7" spans="1:9" x14ac:dyDescent="0.25">
      <c r="A7" t="s">
        <v>43</v>
      </c>
      <c r="E7">
        <f>COUNTA(Data!A2:A501)</f>
        <v>500</v>
      </c>
      <c r="H7" s="5" t="s">
        <v>13</v>
      </c>
      <c r="I7">
        <v>22500000</v>
      </c>
    </row>
    <row r="8" spans="1:9" x14ac:dyDescent="0.25">
      <c r="A8" t="s">
        <v>44</v>
      </c>
      <c r="E8">
        <f>SUMIF(Data!C2:C501,"North",Data!J2:J501)</f>
        <v>24405020</v>
      </c>
      <c r="H8" s="5" t="s">
        <v>21</v>
      </c>
      <c r="I8">
        <v>515700</v>
      </c>
    </row>
    <row r="9" spans="1:9" x14ac:dyDescent="0.25">
      <c r="A9" t="s">
        <v>45</v>
      </c>
      <c r="E9">
        <f>AVERAGE(Data!H2:H501)</f>
        <v>7744.4</v>
      </c>
      <c r="H9" s="5" t="s">
        <v>24</v>
      </c>
      <c r="I9">
        <v>5181600</v>
      </c>
    </row>
    <row r="10" spans="1:9" x14ac:dyDescent="0.25">
      <c r="A10" t="s">
        <v>46</v>
      </c>
      <c r="E10">
        <f>COUNTIF(Data!E2:E501,Data!E2)</f>
        <v>167</v>
      </c>
      <c r="H10" s="5" t="s">
        <v>34</v>
      </c>
      <c r="I10">
        <v>39330</v>
      </c>
    </row>
    <row r="11" spans="1:9" x14ac:dyDescent="0.25">
      <c r="A11" t="s">
        <v>47</v>
      </c>
      <c r="E11">
        <f>MAX(Data!I2:I501)</f>
        <v>0.15</v>
      </c>
      <c r="H11" s="5" t="s">
        <v>28</v>
      </c>
      <c r="I11">
        <v>3192000</v>
      </c>
    </row>
    <row r="12" spans="1:9" x14ac:dyDescent="0.25">
      <c r="A12" t="s">
        <v>48</v>
      </c>
      <c r="F12">
        <f>SUMIF(Data!E2:E501,"Furniture",Data!J2:J501)</f>
        <v>4619765</v>
      </c>
      <c r="H12" s="5" t="s">
        <v>33</v>
      </c>
      <c r="I12">
        <v>9020</v>
      </c>
    </row>
    <row r="13" spans="1:9" x14ac:dyDescent="0.25">
      <c r="A13" t="s">
        <v>49</v>
      </c>
      <c r="E13">
        <f>SUMIF(Data!D2:D501,"Amit",Data!J2:J501)</f>
        <v>12294620</v>
      </c>
      <c r="H13" s="5" t="s">
        <v>32</v>
      </c>
      <c r="I13">
        <v>2509200</v>
      </c>
    </row>
    <row r="14" spans="1:9" x14ac:dyDescent="0.25">
      <c r="A14" t="s">
        <v>50</v>
      </c>
      <c r="E14">
        <f>SUMIF(Data!C2:C501,"West",Data!G2:G501)</f>
        <v>1500</v>
      </c>
      <c r="H14" s="5" t="s">
        <v>59</v>
      </c>
      <c r="I14">
        <v>39364165</v>
      </c>
    </row>
    <row r="15" spans="1:9" x14ac:dyDescent="0.25">
      <c r="A15" t="s">
        <v>51</v>
      </c>
      <c r="E15">
        <f>AVERAGEIF(Data!E2:E501,"Electronics",Data!J2:J501)</f>
        <v>185718.14371257485</v>
      </c>
    </row>
    <row r="16" spans="1:9" x14ac:dyDescent="0.25">
      <c r="A16" t="s">
        <v>52</v>
      </c>
      <c r="E16">
        <f>COUNTIF(Data!I2:I501,"&gt;.10")</f>
        <v>125</v>
      </c>
    </row>
    <row r="17" spans="1:7" x14ac:dyDescent="0.25">
      <c r="A17" t="s">
        <v>53</v>
      </c>
      <c r="E17">
        <f>LARGE(Data!J2:J501,5)</f>
        <v>950000</v>
      </c>
    </row>
    <row r="18" spans="1:7" x14ac:dyDescent="0.25">
      <c r="A18" t="s">
        <v>54</v>
      </c>
    </row>
    <row r="19" spans="1:7" x14ac:dyDescent="0.25">
      <c r="A19" t="s">
        <v>55</v>
      </c>
      <c r="G19">
        <f>SUMPRODUCT(Data!G2:G501,Data!H2:H501,(1-Data!I2:I501))</f>
        <v>39364165</v>
      </c>
    </row>
    <row r="20" spans="1:7" x14ac:dyDescent="0.25">
      <c r="A20" t="s">
        <v>56</v>
      </c>
      <c r="E20" t="s">
        <v>60</v>
      </c>
    </row>
    <row r="21" spans="1:7" x14ac:dyDescent="0.25">
      <c r="A21" t="s">
        <v>57</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Questions-solutions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Rishabh Pandey</cp:lastModifiedBy>
  <dcterms:created xsi:type="dcterms:W3CDTF">2026-07-09T05:39:00Z</dcterms:created>
  <dcterms:modified xsi:type="dcterms:W3CDTF">2026-07-28T07:28:45Z</dcterms:modified>
</cp:coreProperties>
</file>