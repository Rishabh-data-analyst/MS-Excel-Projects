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x excel\ChatGPT practice\"/>
    </mc:Choice>
  </mc:AlternateContent>
  <xr:revisionPtr revIDLastSave="0" documentId="13_ncr:1_{BECE65FD-AAA4-4EF4-AE3C-8AFA77B812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Questions" sheetId="2" r:id="rId2"/>
    <sheet name="soln" sheetId="4" r:id="rId3"/>
  </sheets>
  <calcPr calcId="191029"/>
  <pivotCaches>
    <pivotCache cacheId="16" r:id="rId4"/>
    <pivotCache cacheId="22" r:id="rId5"/>
  </pivotCaches>
</workbook>
</file>

<file path=xl/calcChain.xml><?xml version="1.0" encoding="utf-8"?>
<calcChain xmlns="http://schemas.openxmlformats.org/spreadsheetml/2006/main">
  <c r="C25" i="2" l="1"/>
  <c r="C24" i="2"/>
  <c r="C23" i="2"/>
  <c r="C22" i="2"/>
  <c r="O502" i="2"/>
  <c r="P502" i="2" s="1"/>
  <c r="P501" i="2"/>
  <c r="O501" i="2"/>
  <c r="P500" i="2"/>
  <c r="O500" i="2"/>
  <c r="P499" i="2"/>
  <c r="O499" i="2"/>
  <c r="O498" i="2"/>
  <c r="P498" i="2" s="1"/>
  <c r="P497" i="2"/>
  <c r="O497" i="2"/>
  <c r="P496" i="2"/>
  <c r="O496" i="2"/>
  <c r="P495" i="2"/>
  <c r="O495" i="2"/>
  <c r="O494" i="2"/>
  <c r="P494" i="2" s="1"/>
  <c r="P493" i="2"/>
  <c r="O493" i="2"/>
  <c r="P492" i="2"/>
  <c r="O492" i="2"/>
  <c r="P491" i="2"/>
  <c r="O491" i="2"/>
  <c r="O490" i="2"/>
  <c r="P490" i="2" s="1"/>
  <c r="P489" i="2"/>
  <c r="O489" i="2"/>
  <c r="P488" i="2"/>
  <c r="O488" i="2"/>
  <c r="P487" i="2"/>
  <c r="O487" i="2"/>
  <c r="O486" i="2"/>
  <c r="P486" i="2" s="1"/>
  <c r="P485" i="2"/>
  <c r="O485" i="2"/>
  <c r="P484" i="2"/>
  <c r="O484" i="2"/>
  <c r="P483" i="2"/>
  <c r="O483" i="2"/>
  <c r="O482" i="2"/>
  <c r="P482" i="2" s="1"/>
  <c r="P481" i="2"/>
  <c r="O481" i="2"/>
  <c r="P480" i="2"/>
  <c r="O480" i="2"/>
  <c r="P479" i="2"/>
  <c r="O479" i="2"/>
  <c r="O478" i="2"/>
  <c r="P478" i="2" s="1"/>
  <c r="P477" i="2"/>
  <c r="O477" i="2"/>
  <c r="P476" i="2"/>
  <c r="O476" i="2"/>
  <c r="P475" i="2"/>
  <c r="O475" i="2"/>
  <c r="O474" i="2"/>
  <c r="P474" i="2" s="1"/>
  <c r="P473" i="2"/>
  <c r="O473" i="2"/>
  <c r="P472" i="2"/>
  <c r="O472" i="2"/>
  <c r="P471" i="2"/>
  <c r="O471" i="2"/>
  <c r="O470" i="2"/>
  <c r="P470" i="2" s="1"/>
  <c r="P469" i="2"/>
  <c r="O469" i="2"/>
  <c r="P468" i="2"/>
  <c r="O468" i="2"/>
  <c r="P467" i="2"/>
  <c r="O467" i="2"/>
  <c r="O466" i="2"/>
  <c r="P466" i="2" s="1"/>
  <c r="P465" i="2"/>
  <c r="O465" i="2"/>
  <c r="P464" i="2"/>
  <c r="O464" i="2"/>
  <c r="P463" i="2"/>
  <c r="O463" i="2"/>
  <c r="O462" i="2"/>
  <c r="P462" i="2" s="1"/>
  <c r="P461" i="2"/>
  <c r="O461" i="2"/>
  <c r="P460" i="2"/>
  <c r="O460" i="2"/>
  <c r="P459" i="2"/>
  <c r="O459" i="2"/>
  <c r="O458" i="2"/>
  <c r="P458" i="2" s="1"/>
  <c r="P457" i="2"/>
  <c r="O457" i="2"/>
  <c r="P456" i="2"/>
  <c r="O456" i="2"/>
  <c r="P455" i="2"/>
  <c r="O455" i="2"/>
  <c r="O454" i="2"/>
  <c r="P454" i="2" s="1"/>
  <c r="P453" i="2"/>
  <c r="O453" i="2"/>
  <c r="P452" i="2"/>
  <c r="O452" i="2"/>
  <c r="P451" i="2"/>
  <c r="O451" i="2"/>
  <c r="O450" i="2"/>
  <c r="P450" i="2" s="1"/>
  <c r="P449" i="2"/>
  <c r="O449" i="2"/>
  <c r="P448" i="2"/>
  <c r="O448" i="2"/>
  <c r="P447" i="2"/>
  <c r="O447" i="2"/>
  <c r="O446" i="2"/>
  <c r="P446" i="2" s="1"/>
  <c r="P445" i="2"/>
  <c r="O445" i="2"/>
  <c r="P444" i="2"/>
  <c r="O444" i="2"/>
  <c r="P443" i="2"/>
  <c r="O443" i="2"/>
  <c r="O442" i="2"/>
  <c r="P442" i="2" s="1"/>
  <c r="P441" i="2"/>
  <c r="O441" i="2"/>
  <c r="P440" i="2"/>
  <c r="O440" i="2"/>
  <c r="P439" i="2"/>
  <c r="O439" i="2"/>
  <c r="O438" i="2"/>
  <c r="P438" i="2" s="1"/>
  <c r="P437" i="2"/>
  <c r="O437" i="2"/>
  <c r="P436" i="2"/>
  <c r="O436" i="2"/>
  <c r="P435" i="2"/>
  <c r="O435" i="2"/>
  <c r="O434" i="2"/>
  <c r="P434" i="2" s="1"/>
  <c r="P433" i="2"/>
  <c r="O433" i="2"/>
  <c r="P432" i="2"/>
  <c r="O432" i="2"/>
  <c r="P431" i="2"/>
  <c r="O431" i="2"/>
  <c r="O430" i="2"/>
  <c r="P430" i="2" s="1"/>
  <c r="P429" i="2"/>
  <c r="O429" i="2"/>
  <c r="P428" i="2"/>
  <c r="O428" i="2"/>
  <c r="P427" i="2"/>
  <c r="O427" i="2"/>
  <c r="O426" i="2"/>
  <c r="P426" i="2" s="1"/>
  <c r="P425" i="2"/>
  <c r="O425" i="2"/>
  <c r="P424" i="2"/>
  <c r="O424" i="2"/>
  <c r="P423" i="2"/>
  <c r="O423" i="2"/>
  <c r="O422" i="2"/>
  <c r="P422" i="2" s="1"/>
  <c r="P421" i="2"/>
  <c r="O421" i="2"/>
  <c r="P420" i="2"/>
  <c r="O420" i="2"/>
  <c r="P419" i="2"/>
  <c r="O419" i="2"/>
  <c r="O418" i="2"/>
  <c r="P418" i="2" s="1"/>
  <c r="P417" i="2"/>
  <c r="O417" i="2"/>
  <c r="P416" i="2"/>
  <c r="O416" i="2"/>
  <c r="P415" i="2"/>
  <c r="O415" i="2"/>
  <c r="O414" i="2"/>
  <c r="P414" i="2" s="1"/>
  <c r="P413" i="2"/>
  <c r="O413" i="2"/>
  <c r="P412" i="2"/>
  <c r="O412" i="2"/>
  <c r="P411" i="2"/>
  <c r="O411" i="2"/>
  <c r="O410" i="2"/>
  <c r="P410" i="2" s="1"/>
  <c r="P409" i="2"/>
  <c r="O409" i="2"/>
  <c r="P408" i="2"/>
  <c r="O408" i="2"/>
  <c r="P407" i="2"/>
  <c r="O407" i="2"/>
  <c r="O406" i="2"/>
  <c r="P406" i="2" s="1"/>
  <c r="P405" i="2"/>
  <c r="O405" i="2"/>
  <c r="P404" i="2"/>
  <c r="O404" i="2"/>
  <c r="P403" i="2"/>
  <c r="O403" i="2"/>
  <c r="O402" i="2"/>
  <c r="P402" i="2" s="1"/>
  <c r="P401" i="2"/>
  <c r="O401" i="2"/>
  <c r="P400" i="2"/>
  <c r="O400" i="2"/>
  <c r="P399" i="2"/>
  <c r="O399" i="2"/>
  <c r="O398" i="2"/>
  <c r="P398" i="2" s="1"/>
  <c r="P397" i="2"/>
  <c r="O397" i="2"/>
  <c r="P396" i="2"/>
  <c r="O396" i="2"/>
  <c r="P395" i="2"/>
  <c r="O395" i="2"/>
  <c r="O394" i="2"/>
  <c r="P394" i="2" s="1"/>
  <c r="P393" i="2"/>
  <c r="O393" i="2"/>
  <c r="P392" i="2"/>
  <c r="O392" i="2"/>
  <c r="P391" i="2"/>
  <c r="O391" i="2"/>
  <c r="O390" i="2"/>
  <c r="P390" i="2" s="1"/>
  <c r="P389" i="2"/>
  <c r="O389" i="2"/>
  <c r="P388" i="2"/>
  <c r="O388" i="2"/>
  <c r="P387" i="2"/>
  <c r="O387" i="2"/>
  <c r="O386" i="2"/>
  <c r="P386" i="2" s="1"/>
  <c r="P385" i="2"/>
  <c r="O385" i="2"/>
  <c r="P384" i="2"/>
  <c r="O384" i="2"/>
  <c r="P383" i="2"/>
  <c r="O383" i="2"/>
  <c r="O382" i="2"/>
  <c r="P382" i="2" s="1"/>
  <c r="P381" i="2"/>
  <c r="O381" i="2"/>
  <c r="P380" i="2"/>
  <c r="O380" i="2"/>
  <c r="P379" i="2"/>
  <c r="O379" i="2"/>
  <c r="O378" i="2"/>
  <c r="P378" i="2" s="1"/>
  <c r="P377" i="2"/>
  <c r="O377" i="2"/>
  <c r="P376" i="2"/>
  <c r="O376" i="2"/>
  <c r="P375" i="2"/>
  <c r="O375" i="2"/>
  <c r="O374" i="2"/>
  <c r="P374" i="2" s="1"/>
  <c r="P373" i="2"/>
  <c r="O373" i="2"/>
  <c r="P372" i="2"/>
  <c r="O372" i="2"/>
  <c r="P371" i="2"/>
  <c r="O371" i="2"/>
  <c r="O370" i="2"/>
  <c r="P370" i="2" s="1"/>
  <c r="P369" i="2"/>
  <c r="O369" i="2"/>
  <c r="P368" i="2"/>
  <c r="O368" i="2"/>
  <c r="P367" i="2"/>
  <c r="O367" i="2"/>
  <c r="O366" i="2"/>
  <c r="P366" i="2" s="1"/>
  <c r="P365" i="2"/>
  <c r="O365" i="2"/>
  <c r="P364" i="2"/>
  <c r="O364" i="2"/>
  <c r="P363" i="2"/>
  <c r="O363" i="2"/>
  <c r="O362" i="2"/>
  <c r="P362" i="2" s="1"/>
  <c r="P361" i="2"/>
  <c r="O361" i="2"/>
  <c r="P360" i="2"/>
  <c r="O360" i="2"/>
  <c r="P359" i="2"/>
  <c r="O359" i="2"/>
  <c r="O358" i="2"/>
  <c r="P358" i="2" s="1"/>
  <c r="P357" i="2"/>
  <c r="O357" i="2"/>
  <c r="P356" i="2"/>
  <c r="O356" i="2"/>
  <c r="P355" i="2"/>
  <c r="O355" i="2"/>
  <c r="O354" i="2"/>
  <c r="P354" i="2" s="1"/>
  <c r="P353" i="2"/>
  <c r="O353" i="2"/>
  <c r="P352" i="2"/>
  <c r="O352" i="2"/>
  <c r="P351" i="2"/>
  <c r="O351" i="2"/>
  <c r="O350" i="2"/>
  <c r="P350" i="2" s="1"/>
  <c r="P349" i="2"/>
  <c r="O349" i="2"/>
  <c r="P348" i="2"/>
  <c r="O348" i="2"/>
  <c r="P347" i="2"/>
  <c r="O347" i="2"/>
  <c r="O346" i="2"/>
  <c r="P346" i="2" s="1"/>
  <c r="P345" i="2"/>
  <c r="O345" i="2"/>
  <c r="P344" i="2"/>
  <c r="O344" i="2"/>
  <c r="P343" i="2"/>
  <c r="O343" i="2"/>
  <c r="O342" i="2"/>
  <c r="P342" i="2" s="1"/>
  <c r="P341" i="2"/>
  <c r="O341" i="2"/>
  <c r="P340" i="2"/>
  <c r="O340" i="2"/>
  <c r="P339" i="2"/>
  <c r="O339" i="2"/>
  <c r="O338" i="2"/>
  <c r="P338" i="2" s="1"/>
  <c r="P337" i="2"/>
  <c r="O337" i="2"/>
  <c r="P336" i="2"/>
  <c r="O336" i="2"/>
  <c r="P335" i="2"/>
  <c r="O335" i="2"/>
  <c r="O334" i="2"/>
  <c r="P334" i="2" s="1"/>
  <c r="P333" i="2"/>
  <c r="O333" i="2"/>
  <c r="P332" i="2"/>
  <c r="O332" i="2"/>
  <c r="P331" i="2"/>
  <c r="O331" i="2"/>
  <c r="O330" i="2"/>
  <c r="P330" i="2" s="1"/>
  <c r="P329" i="2"/>
  <c r="O329" i="2"/>
  <c r="P328" i="2"/>
  <c r="O328" i="2"/>
  <c r="P327" i="2"/>
  <c r="O327" i="2"/>
  <c r="O326" i="2"/>
  <c r="P326" i="2" s="1"/>
  <c r="P325" i="2"/>
  <c r="O325" i="2"/>
  <c r="P324" i="2"/>
  <c r="O324" i="2"/>
  <c r="P323" i="2"/>
  <c r="O323" i="2"/>
  <c r="O322" i="2"/>
  <c r="P322" i="2" s="1"/>
  <c r="P321" i="2"/>
  <c r="O321" i="2"/>
  <c r="P320" i="2"/>
  <c r="O320" i="2"/>
  <c r="P319" i="2"/>
  <c r="O319" i="2"/>
  <c r="O318" i="2"/>
  <c r="P318" i="2" s="1"/>
  <c r="P317" i="2"/>
  <c r="O317" i="2"/>
  <c r="P316" i="2"/>
  <c r="O316" i="2"/>
  <c r="P315" i="2"/>
  <c r="O315" i="2"/>
  <c r="O314" i="2"/>
  <c r="P314" i="2" s="1"/>
  <c r="P313" i="2"/>
  <c r="O313" i="2"/>
  <c r="P312" i="2"/>
  <c r="O312" i="2"/>
  <c r="P311" i="2"/>
  <c r="O311" i="2"/>
  <c r="O310" i="2"/>
  <c r="P310" i="2" s="1"/>
  <c r="P309" i="2"/>
  <c r="O309" i="2"/>
  <c r="P308" i="2"/>
  <c r="O308" i="2"/>
  <c r="P307" i="2"/>
  <c r="O307" i="2"/>
  <c r="O306" i="2"/>
  <c r="P306" i="2" s="1"/>
  <c r="P305" i="2"/>
  <c r="O305" i="2"/>
  <c r="P304" i="2"/>
  <c r="O304" i="2"/>
  <c r="P303" i="2"/>
  <c r="O303" i="2"/>
  <c r="O302" i="2"/>
  <c r="P302" i="2" s="1"/>
  <c r="P301" i="2"/>
  <c r="O301" i="2"/>
  <c r="P300" i="2"/>
  <c r="O300" i="2"/>
  <c r="P299" i="2"/>
  <c r="O299" i="2"/>
  <c r="O298" i="2"/>
  <c r="P298" i="2" s="1"/>
  <c r="P297" i="2"/>
  <c r="O297" i="2"/>
  <c r="P296" i="2"/>
  <c r="O296" i="2"/>
  <c r="P295" i="2"/>
  <c r="O295" i="2"/>
  <c r="O294" i="2"/>
  <c r="P294" i="2" s="1"/>
  <c r="P293" i="2"/>
  <c r="O293" i="2"/>
  <c r="P292" i="2"/>
  <c r="O292" i="2"/>
  <c r="P291" i="2"/>
  <c r="O291" i="2"/>
  <c r="O290" i="2"/>
  <c r="P290" i="2" s="1"/>
  <c r="P289" i="2"/>
  <c r="O289" i="2"/>
  <c r="P288" i="2"/>
  <c r="O288" i="2"/>
  <c r="P287" i="2"/>
  <c r="O287" i="2"/>
  <c r="O286" i="2"/>
  <c r="P286" i="2" s="1"/>
  <c r="P285" i="2"/>
  <c r="O285" i="2"/>
  <c r="P284" i="2"/>
  <c r="O284" i="2"/>
  <c r="P283" i="2"/>
  <c r="O283" i="2"/>
  <c r="O282" i="2"/>
  <c r="P282" i="2" s="1"/>
  <c r="P281" i="2"/>
  <c r="O281" i="2"/>
  <c r="P280" i="2"/>
  <c r="O280" i="2"/>
  <c r="P279" i="2"/>
  <c r="O279" i="2"/>
  <c r="O278" i="2"/>
  <c r="P278" i="2" s="1"/>
  <c r="P277" i="2"/>
  <c r="O277" i="2"/>
  <c r="P276" i="2"/>
  <c r="O276" i="2"/>
  <c r="P275" i="2"/>
  <c r="O275" i="2"/>
  <c r="O274" i="2"/>
  <c r="P274" i="2" s="1"/>
  <c r="P273" i="2"/>
  <c r="O273" i="2"/>
  <c r="P272" i="2"/>
  <c r="O272" i="2"/>
  <c r="P271" i="2"/>
  <c r="O271" i="2"/>
  <c r="O270" i="2"/>
  <c r="P270" i="2" s="1"/>
  <c r="P269" i="2"/>
  <c r="O269" i="2"/>
  <c r="P268" i="2"/>
  <c r="O268" i="2"/>
  <c r="P267" i="2"/>
  <c r="O267" i="2"/>
  <c r="O266" i="2"/>
  <c r="P266" i="2" s="1"/>
  <c r="P265" i="2"/>
  <c r="O265" i="2"/>
  <c r="P264" i="2"/>
  <c r="O264" i="2"/>
  <c r="P263" i="2"/>
  <c r="O263" i="2"/>
  <c r="O262" i="2"/>
  <c r="P262" i="2" s="1"/>
  <c r="P261" i="2"/>
  <c r="O261" i="2"/>
  <c r="P260" i="2"/>
  <c r="O260" i="2"/>
  <c r="P259" i="2"/>
  <c r="O259" i="2"/>
  <c r="O258" i="2"/>
  <c r="P258" i="2" s="1"/>
  <c r="P257" i="2"/>
  <c r="O257" i="2"/>
  <c r="P256" i="2"/>
  <c r="O256" i="2"/>
  <c r="P255" i="2"/>
  <c r="O255" i="2"/>
  <c r="O254" i="2"/>
  <c r="P254" i="2" s="1"/>
  <c r="P253" i="2"/>
  <c r="O253" i="2"/>
  <c r="P252" i="2"/>
  <c r="O252" i="2"/>
  <c r="P251" i="2"/>
  <c r="O251" i="2"/>
  <c r="O250" i="2"/>
  <c r="P250" i="2" s="1"/>
  <c r="P249" i="2"/>
  <c r="O249" i="2"/>
  <c r="P248" i="2"/>
  <c r="O248" i="2"/>
  <c r="P247" i="2"/>
  <c r="O247" i="2"/>
  <c r="O246" i="2"/>
  <c r="P246" i="2" s="1"/>
  <c r="P245" i="2"/>
  <c r="O245" i="2"/>
  <c r="P244" i="2"/>
  <c r="O244" i="2"/>
  <c r="P243" i="2"/>
  <c r="O243" i="2"/>
  <c r="O242" i="2"/>
  <c r="P242" i="2" s="1"/>
  <c r="P241" i="2"/>
  <c r="O241" i="2"/>
  <c r="P240" i="2"/>
  <c r="O240" i="2"/>
  <c r="P239" i="2"/>
  <c r="O239" i="2"/>
  <c r="O238" i="2"/>
  <c r="P238" i="2" s="1"/>
  <c r="P237" i="2"/>
  <c r="O237" i="2"/>
  <c r="P236" i="2"/>
  <c r="O236" i="2"/>
  <c r="P235" i="2"/>
  <c r="O235" i="2"/>
  <c r="O234" i="2"/>
  <c r="P234" i="2" s="1"/>
  <c r="P233" i="2"/>
  <c r="O233" i="2"/>
  <c r="P232" i="2"/>
  <c r="O232" i="2"/>
  <c r="P231" i="2"/>
  <c r="O231" i="2"/>
  <c r="O230" i="2"/>
  <c r="P230" i="2" s="1"/>
  <c r="P229" i="2"/>
  <c r="O229" i="2"/>
  <c r="P228" i="2"/>
  <c r="O228" i="2"/>
  <c r="P227" i="2"/>
  <c r="O227" i="2"/>
  <c r="O226" i="2"/>
  <c r="P226" i="2" s="1"/>
  <c r="P225" i="2"/>
  <c r="O225" i="2"/>
  <c r="P224" i="2"/>
  <c r="O224" i="2"/>
  <c r="P223" i="2"/>
  <c r="O223" i="2"/>
  <c r="O222" i="2"/>
  <c r="P222" i="2" s="1"/>
  <c r="P221" i="2"/>
  <c r="O221" i="2"/>
  <c r="P220" i="2"/>
  <c r="O220" i="2"/>
  <c r="P219" i="2"/>
  <c r="O219" i="2"/>
  <c r="O218" i="2"/>
  <c r="P218" i="2" s="1"/>
  <c r="P217" i="2"/>
  <c r="O217" i="2"/>
  <c r="P216" i="2"/>
  <c r="O216" i="2"/>
  <c r="P215" i="2"/>
  <c r="O215" i="2"/>
  <c r="O214" i="2"/>
  <c r="P214" i="2" s="1"/>
  <c r="P213" i="2"/>
  <c r="O213" i="2"/>
  <c r="P212" i="2"/>
  <c r="O212" i="2"/>
  <c r="P211" i="2"/>
  <c r="O211" i="2"/>
  <c r="O210" i="2"/>
  <c r="P210" i="2" s="1"/>
  <c r="P209" i="2"/>
  <c r="O209" i="2"/>
  <c r="P208" i="2"/>
  <c r="O208" i="2"/>
  <c r="P207" i="2"/>
  <c r="O207" i="2"/>
  <c r="O206" i="2"/>
  <c r="P206" i="2" s="1"/>
  <c r="P205" i="2"/>
  <c r="O205" i="2"/>
  <c r="P204" i="2"/>
  <c r="O204" i="2"/>
  <c r="P203" i="2"/>
  <c r="O203" i="2"/>
  <c r="O202" i="2"/>
  <c r="P202" i="2" s="1"/>
  <c r="P201" i="2"/>
  <c r="O201" i="2"/>
  <c r="P200" i="2"/>
  <c r="O200" i="2"/>
  <c r="P199" i="2"/>
  <c r="O199" i="2"/>
  <c r="O198" i="2"/>
  <c r="P198" i="2" s="1"/>
  <c r="P197" i="2"/>
  <c r="O197" i="2"/>
  <c r="P196" i="2"/>
  <c r="O196" i="2"/>
  <c r="P195" i="2"/>
  <c r="O195" i="2"/>
  <c r="O194" i="2"/>
  <c r="P194" i="2" s="1"/>
  <c r="P193" i="2"/>
  <c r="O193" i="2"/>
  <c r="P192" i="2"/>
  <c r="O192" i="2"/>
  <c r="P191" i="2"/>
  <c r="O191" i="2"/>
  <c r="O190" i="2"/>
  <c r="P190" i="2" s="1"/>
  <c r="P189" i="2"/>
  <c r="O189" i="2"/>
  <c r="P188" i="2"/>
  <c r="O188" i="2"/>
  <c r="P187" i="2"/>
  <c r="O187" i="2"/>
  <c r="O186" i="2"/>
  <c r="P186" i="2" s="1"/>
  <c r="P185" i="2"/>
  <c r="O185" i="2"/>
  <c r="P184" i="2"/>
  <c r="O184" i="2"/>
  <c r="P183" i="2"/>
  <c r="O183" i="2"/>
  <c r="O182" i="2"/>
  <c r="P182" i="2" s="1"/>
  <c r="P181" i="2"/>
  <c r="O181" i="2"/>
  <c r="P180" i="2"/>
  <c r="O180" i="2"/>
  <c r="P179" i="2"/>
  <c r="O179" i="2"/>
  <c r="O178" i="2"/>
  <c r="P178" i="2" s="1"/>
  <c r="P177" i="2"/>
  <c r="O177" i="2"/>
  <c r="P176" i="2"/>
  <c r="O176" i="2"/>
  <c r="P175" i="2"/>
  <c r="O175" i="2"/>
  <c r="O174" i="2"/>
  <c r="P174" i="2" s="1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C15" i="2"/>
  <c r="L106" i="1"/>
  <c r="L147" i="1"/>
  <c r="L275" i="1"/>
  <c r="L298" i="1"/>
  <c r="L467" i="1"/>
  <c r="L490" i="1"/>
  <c r="C14" i="2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2" i="1"/>
  <c r="L2" i="1" s="1"/>
  <c r="C12" i="2"/>
  <c r="C11" i="2"/>
  <c r="C10" i="2"/>
  <c r="C9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<sst xmlns="http://schemas.openxmlformats.org/spreadsheetml/2006/main" count="5106" uniqueCount="100">
  <si>
    <t>OrderID</t>
  </si>
  <si>
    <t>Date</t>
  </si>
  <si>
    <t>Customer</t>
  </si>
  <si>
    <t>City</t>
  </si>
  <si>
    <t>Category</t>
  </si>
  <si>
    <t>Product</t>
  </si>
  <si>
    <t>Qty</t>
  </si>
  <si>
    <t>UnitPrice</t>
  </si>
  <si>
    <t>Discount%</t>
  </si>
  <si>
    <t>Salesperson</t>
  </si>
  <si>
    <t>Meera</t>
  </si>
  <si>
    <t>Patna</t>
  </si>
  <si>
    <t>Grocery</t>
  </si>
  <si>
    <t>Rice</t>
  </si>
  <si>
    <t>Sonal</t>
  </si>
  <si>
    <t>Diya</t>
  </si>
  <si>
    <t>Mumbai</t>
  </si>
  <si>
    <t>Electronics</t>
  </si>
  <si>
    <t>Mouse</t>
  </si>
  <si>
    <t>Karan</t>
  </si>
  <si>
    <t>Neha</t>
  </si>
  <si>
    <t>Bhopal</t>
  </si>
  <si>
    <t>Coffee</t>
  </si>
  <si>
    <t>Amit</t>
  </si>
  <si>
    <t>Priya</t>
  </si>
  <si>
    <t>Pune</t>
  </si>
  <si>
    <t>Pooja</t>
  </si>
  <si>
    <t>Sneha</t>
  </si>
  <si>
    <t>Monitor</t>
  </si>
  <si>
    <t>Delhi</t>
  </si>
  <si>
    <t>Nitin</t>
  </si>
  <si>
    <t>Arjun</t>
  </si>
  <si>
    <t>Vihaan</t>
  </si>
  <si>
    <t>Tea</t>
  </si>
  <si>
    <t>Office</t>
  </si>
  <si>
    <t>Pen</t>
  </si>
  <si>
    <t>Keyboard</t>
  </si>
  <si>
    <t>Jaipur</t>
  </si>
  <si>
    <t>Notebook</t>
  </si>
  <si>
    <t>Aarav</t>
  </si>
  <si>
    <t>Furniture</t>
  </si>
  <si>
    <t>Desk</t>
  </si>
  <si>
    <t>Ishaan</t>
  </si>
  <si>
    <t>Anaya</t>
  </si>
  <si>
    <t>Marker</t>
  </si>
  <si>
    <t>Lucknow</t>
  </si>
  <si>
    <t>Cabinet</t>
  </si>
  <si>
    <t>Kolkata</t>
  </si>
  <si>
    <t>Kabir</t>
  </si>
  <si>
    <t>Table</t>
  </si>
  <si>
    <t>Stapler</t>
  </si>
  <si>
    <t>Chennai</t>
  </si>
  <si>
    <t>Indore</t>
  </si>
  <si>
    <t>Chair</t>
  </si>
  <si>
    <t>Rohan</t>
  </si>
  <si>
    <t>SSD</t>
  </si>
  <si>
    <t>Sugar</t>
  </si>
  <si>
    <t>No</t>
  </si>
  <si>
    <t>Question</t>
  </si>
  <si>
    <t>Total number of records?</t>
  </si>
  <si>
    <t>Average UnitPrice</t>
  </si>
  <si>
    <t>Highest UnitPrice</t>
  </si>
  <si>
    <t>Lowest UnitPrice</t>
  </si>
  <si>
    <t>Total Qty</t>
  </si>
  <si>
    <t>Sort by UnitPrice descending</t>
  </si>
  <si>
    <t>Filter Electronics</t>
  </si>
  <si>
    <t>Count Delhi orders</t>
  </si>
  <si>
    <t>Average discount</t>
  </si>
  <si>
    <t>Max Qty</t>
  </si>
  <si>
    <t>Min Qty</t>
  </si>
  <si>
    <t>Unique cities</t>
  </si>
  <si>
    <t>Create Total=Qty*UnitPrice</t>
  </si>
  <si>
    <t>Net after discount</t>
  </si>
  <si>
    <t>Top salesperson by orders</t>
  </si>
  <si>
    <t>Orders in June</t>
  </si>
  <si>
    <t>Average sales by category</t>
  </si>
  <si>
    <t>Conditional formatting Qty&gt;15</t>
  </si>
  <si>
    <t>Pivot: Qty by City</t>
  </si>
  <si>
    <t>Pivot: Sales by Category</t>
  </si>
  <si>
    <t>Lookup product category</t>
  </si>
  <si>
    <t>Rank UnitPrice</t>
  </si>
  <si>
    <t>Text combine Customer-City</t>
  </si>
  <si>
    <t>Extract month from Date</t>
  </si>
  <si>
    <t>Create chart of Category counts</t>
  </si>
  <si>
    <t>doesn't support sort formula use table</t>
  </si>
  <si>
    <t>doesn't support filter formula use table</t>
  </si>
  <si>
    <t>doesn't support unique formula</t>
  </si>
  <si>
    <t>Total</t>
  </si>
  <si>
    <t>Net</t>
  </si>
  <si>
    <t>Grand Total</t>
  </si>
  <si>
    <t>Sum of Qty</t>
  </si>
  <si>
    <t>salesperson</t>
  </si>
  <si>
    <t>Jun</t>
  </si>
  <si>
    <t>see pivot table</t>
  </si>
  <si>
    <t>month</t>
  </si>
  <si>
    <t>Average of Total</t>
  </si>
  <si>
    <t>see right side data</t>
  </si>
  <si>
    <t>category</t>
  </si>
  <si>
    <t>city</t>
  </si>
  <si>
    <t>Count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</si>
</sst>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numFmt numFmtId="1" formatCode="0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[EXCEL-500%20Day-1.xlsx]soln!que25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ln>
                  <a:noFill/>
                </a:ln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Total Count</a:t>
            </a:r>
          </a:p>
        </c:rich>
      </c:tx>
      <c:layout>
        <c:manualLayout>
          <c:xMode val="edge"/>
          <c:yMode val="edge"/>
          <c:x val="0.32178877933513444"/>
          <c:y val="7.13910420467468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ln>
                <a:noFill/>
              </a:ln>
              <a:solidFill>
                <a:schemeClr val="dk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soln!$E$10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soln!$D$11:$D$15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Grocery</c:v>
                </c:pt>
                <c:pt idx="3">
                  <c:v>Office</c:v>
                </c:pt>
              </c:strCache>
            </c:strRef>
          </c:cat>
          <c:val>
            <c:numRef>
              <c:f>soln!$E$11:$E$15</c:f>
              <c:numCache>
                <c:formatCode>General</c:formatCode>
                <c:ptCount val="4"/>
                <c:pt idx="0">
                  <c:v>129</c:v>
                </c:pt>
                <c:pt idx="1">
                  <c:v>108</c:v>
                </c:pt>
                <c:pt idx="2">
                  <c:v>130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4-4CE8-A886-454EE55FDF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79961583"/>
        <c:axId val="1079958223"/>
      </c:barChart>
      <c:catAx>
        <c:axId val="1079961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958223"/>
        <c:crosses val="autoZero"/>
        <c:auto val="1"/>
        <c:lblAlgn val="ctr"/>
        <c:lblOffset val="100"/>
        <c:noMultiLvlLbl val="0"/>
      </c:catAx>
      <c:valAx>
        <c:axId val="10799582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96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8</xdr:row>
      <xdr:rowOff>19050</xdr:rowOff>
    </xdr:from>
    <xdr:to>
      <xdr:col>8</xdr:col>
      <xdr:colOff>571500</xdr:colOff>
      <xdr:row>19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407F1-A681-19CC-B68D-B21560790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" refreshedDate="46219.457370023149" createdVersion="8" refreshedVersion="8" minRefreshableVersion="3" recordCount="500" xr:uid="{434D4111-36F6-4DE1-9057-0944C6C9C41B}">
  <cacheSource type="worksheet">
    <worksheetSource ref="A1:J501" sheet="Data"/>
  </cacheSource>
  <cacheFields count="12">
    <cacheField name="OrderID" numFmtId="0">
      <sharedItems containsSemiMixedTypes="0" containsString="0" containsNumber="1" containsInteger="1" minValue="10001" maxValue="10500"/>
    </cacheField>
    <cacheField name="Date" numFmtId="14">
      <sharedItems containsSemiMixedTypes="0" containsNonDate="0" containsDate="1" containsString="0" minDate="2025-01-01T00:00:00" maxDate="2026-01-01T00:00:00" count="274">
        <d v="2025-07-07T00:00:00"/>
        <d v="2025-07-04T00:00:00"/>
        <d v="2025-11-13T00:00:00"/>
        <d v="2025-04-23T00:00:00"/>
        <d v="2025-07-01T00:00:00"/>
        <d v="2025-03-04T00:00:00"/>
        <d v="2025-07-29T00:00:00"/>
        <d v="2025-06-30T00:00:00"/>
        <d v="2025-09-04T00:00:00"/>
        <d v="2025-03-09T00:00:00"/>
        <d v="2025-11-10T00:00:00"/>
        <d v="2025-01-23T00:00:00"/>
        <d v="2025-11-03T00:00:00"/>
        <d v="2025-12-11T00:00:00"/>
        <d v="2025-07-25T00:00:00"/>
        <d v="2025-01-26T00:00:00"/>
        <d v="2025-02-27T00:00:00"/>
        <d v="2025-02-02T00:00:00"/>
        <d v="2025-07-15T00:00:00"/>
        <d v="2025-02-10T00:00:00"/>
        <d v="2025-04-03T00:00:00"/>
        <d v="2025-09-06T00:00:00"/>
        <d v="2025-12-06T00:00:00"/>
        <d v="2025-01-30T00:00:00"/>
        <d v="2025-05-31T00:00:00"/>
        <d v="2025-07-26T00:00:00"/>
        <d v="2025-01-21T00:00:00"/>
        <d v="2025-11-20T00:00:00"/>
        <d v="2025-02-16T00:00:00"/>
        <d v="2025-08-30T00:00:00"/>
        <d v="2025-06-10T00:00:00"/>
        <d v="2025-05-27T00:00:00"/>
        <d v="2025-06-18T00:00:00"/>
        <d v="2025-11-17T00:00:00"/>
        <d v="2025-06-21T00:00:00"/>
        <d v="2025-06-23T00:00:00"/>
        <d v="2025-09-28T00:00:00"/>
        <d v="2025-06-19T00:00:00"/>
        <d v="2025-12-05T00:00:00"/>
        <d v="2025-05-17T00:00:00"/>
        <d v="2025-12-12T00:00:00"/>
        <d v="2025-02-23T00:00:00"/>
        <d v="2025-08-20T00:00:00"/>
        <d v="2025-03-07T00:00:00"/>
        <d v="2025-02-20T00:00:00"/>
        <d v="2025-04-10T00:00:00"/>
        <d v="2025-04-28T00:00:00"/>
        <d v="2025-08-13T00:00:00"/>
        <d v="2025-07-23T00:00:00"/>
        <d v="2025-10-05T00:00:00"/>
        <d v="2025-07-30T00:00:00"/>
        <d v="2025-07-13T00:00:00"/>
        <d v="2025-08-10T00:00:00"/>
        <d v="2025-08-22T00:00:00"/>
        <d v="2025-12-03T00:00:00"/>
        <d v="2025-01-28T00:00:00"/>
        <d v="2025-10-04T00:00:00"/>
        <d v="2025-04-09T00:00:00"/>
        <d v="2025-09-20T00:00:00"/>
        <d v="2025-01-31T00:00:00"/>
        <d v="2025-09-24T00:00:00"/>
        <d v="2025-03-27T00:00:00"/>
        <d v="2025-10-03T00:00:00"/>
        <d v="2025-02-07T00:00:00"/>
        <d v="2025-12-27T00:00:00"/>
        <d v="2025-12-18T00:00:00"/>
        <d v="2025-12-25T00:00:00"/>
        <d v="2025-02-25T00:00:00"/>
        <d v="2025-10-26T00:00:00"/>
        <d v="2025-04-15T00:00:00"/>
        <d v="2025-03-14T00:00:00"/>
        <d v="2025-08-31T00:00:00"/>
        <d v="2025-02-26T00:00:00"/>
        <d v="2025-12-24T00:00:00"/>
        <d v="2025-12-07T00:00:00"/>
        <d v="2025-03-23T00:00:00"/>
        <d v="2025-02-24T00:00:00"/>
        <d v="2025-02-22T00:00:00"/>
        <d v="2025-07-09T00:00:00"/>
        <d v="2025-10-07T00:00:00"/>
        <d v="2025-04-07T00:00:00"/>
        <d v="2025-08-09T00:00:00"/>
        <d v="2025-03-17T00:00:00"/>
        <d v="2025-09-30T00:00:00"/>
        <d v="2025-09-15T00:00:00"/>
        <d v="2025-09-19T00:00:00"/>
        <d v="2025-09-22T00:00:00"/>
        <d v="2025-08-14T00:00:00"/>
        <d v="2025-12-20T00:00:00"/>
        <d v="2025-09-27T00:00:00"/>
        <d v="2025-09-05T00:00:00"/>
        <d v="2025-06-24T00:00:00"/>
        <d v="2025-08-02T00:00:00"/>
        <d v="2025-10-18T00:00:00"/>
        <d v="2025-02-18T00:00:00"/>
        <d v="2025-10-23T00:00:00"/>
        <d v="2025-05-19T00:00:00"/>
        <d v="2025-11-27T00:00:00"/>
        <d v="2025-11-24T00:00:00"/>
        <d v="2025-09-11T00:00:00"/>
        <d v="2025-08-15T00:00:00"/>
        <d v="2025-11-14T00:00:00"/>
        <d v="2025-05-03T00:00:00"/>
        <d v="2025-03-03T00:00:00"/>
        <d v="2025-09-29T00:00:00"/>
        <d v="2025-03-05T00:00:00"/>
        <d v="2025-06-16T00:00:00"/>
        <d v="2025-04-20T00:00:00"/>
        <d v="2025-08-17T00:00:00"/>
        <d v="2025-01-27T00:00:00"/>
        <d v="2025-12-21T00:00:00"/>
        <d v="2025-07-06T00:00:00"/>
        <d v="2025-11-26T00:00:00"/>
        <d v="2025-05-14T00:00:00"/>
        <d v="2025-09-03T00:00:00"/>
        <d v="2025-01-18T00:00:00"/>
        <d v="2025-01-08T00:00:00"/>
        <d v="2025-04-02T00:00:00"/>
        <d v="2025-05-30T00:00:00"/>
        <d v="2025-03-11T00:00:00"/>
        <d v="2025-05-02T00:00:00"/>
        <d v="2025-02-11T00:00:00"/>
        <d v="2025-07-14T00:00:00"/>
        <d v="2025-07-19T00:00:00"/>
        <d v="2025-01-07T00:00:00"/>
        <d v="2025-03-16T00:00:00"/>
        <d v="2025-02-05T00:00:00"/>
        <d v="2025-04-27T00:00:00"/>
        <d v="2025-08-21T00:00:00"/>
        <d v="2025-09-17T00:00:00"/>
        <d v="2025-10-01T00:00:00"/>
        <d v="2025-07-22T00:00:00"/>
        <d v="2025-02-28T00:00:00"/>
        <d v="2025-12-17T00:00:00"/>
        <d v="2025-10-27T00:00:00"/>
        <d v="2025-05-13T00:00:00"/>
        <d v="2025-08-05T00:00:00"/>
        <d v="2025-01-09T00:00:00"/>
        <d v="2025-11-19T00:00:00"/>
        <d v="2025-01-22T00:00:00"/>
        <d v="2025-06-12T00:00:00"/>
        <d v="2025-12-22T00:00:00"/>
        <d v="2025-07-08T00:00:00"/>
        <d v="2025-11-09T00:00:00"/>
        <d v="2025-01-12T00:00:00"/>
        <d v="2025-04-25T00:00:00"/>
        <d v="2025-03-25T00:00:00"/>
        <d v="2025-11-01T00:00:00"/>
        <d v="2025-08-16T00:00:00"/>
        <d v="2025-04-12T00:00:00"/>
        <d v="2025-05-22T00:00:00"/>
        <d v="2025-01-02T00:00:00"/>
        <d v="2025-02-08T00:00:00"/>
        <d v="2025-10-10T00:00:00"/>
        <d v="2025-10-22T00:00:00"/>
        <d v="2025-12-31T00:00:00"/>
        <d v="2025-09-25T00:00:00"/>
        <d v="2025-10-08T00:00:00"/>
        <d v="2025-03-06T00:00:00"/>
        <d v="2025-03-13T00:00:00"/>
        <d v="2025-04-24T00:00:00"/>
        <d v="2025-01-10T00:00:00"/>
        <d v="2025-01-05T00:00:00"/>
        <d v="2025-09-13T00:00:00"/>
        <d v="2025-09-12T00:00:00"/>
        <d v="2025-04-05T00:00:00"/>
        <d v="2025-10-15T00:00:00"/>
        <d v="2025-11-08T00:00:00"/>
        <d v="2025-05-28T00:00:00"/>
        <d v="2025-07-18T00:00:00"/>
        <d v="2025-05-15T00:00:00"/>
        <d v="2025-11-30T00:00:00"/>
        <d v="2025-10-14T00:00:00"/>
        <d v="2025-02-19T00:00:00"/>
        <d v="2025-08-27T00:00:00"/>
        <d v="2025-10-25T00:00:00"/>
        <d v="2025-11-22T00:00:00"/>
        <d v="2025-06-13T00:00:00"/>
        <d v="2025-01-16T00:00:00"/>
        <d v="2025-03-08T00:00:00"/>
        <d v="2025-03-18T00:00:00"/>
        <d v="2025-08-24T00:00:00"/>
        <d v="2025-07-10T00:00:00"/>
        <d v="2025-06-05T00:00:00"/>
        <d v="2025-07-28T00:00:00"/>
        <d v="2025-06-28T00:00:00"/>
        <d v="2025-06-17T00:00:00"/>
        <d v="2025-11-23T00:00:00"/>
        <d v="2025-08-04T00:00:00"/>
        <d v="2025-05-08T00:00:00"/>
        <d v="2025-11-16T00:00:00"/>
        <d v="2025-09-07T00:00:00"/>
        <d v="2025-08-25T00:00:00"/>
        <d v="2025-01-19T00:00:00"/>
        <d v="2025-04-14T00:00:00"/>
        <d v="2025-11-04T00:00:00"/>
        <d v="2025-06-20T00:00:00"/>
        <d v="2025-10-28T00:00:00"/>
        <d v="2025-10-02T00:00:00"/>
        <d v="2025-10-16T00:00:00"/>
        <d v="2025-12-13T00:00:00"/>
        <d v="2025-05-11T00:00:00"/>
        <d v="2025-05-25T00:00:00"/>
        <d v="2025-03-26T00:00:00"/>
        <d v="2025-02-14T00:00:00"/>
        <d v="2025-02-17T00:00:00"/>
        <d v="2025-02-13T00:00:00"/>
        <d v="2025-04-11T00:00:00"/>
        <d v="2025-03-30T00:00:00"/>
        <d v="2025-06-02T00:00:00"/>
        <d v="2025-08-19T00:00:00"/>
        <d v="2025-03-15T00:00:00"/>
        <d v="2025-02-03T00:00:00"/>
        <d v="2025-09-08T00:00:00"/>
        <d v="2025-10-31T00:00:00"/>
        <d v="2025-06-06T00:00:00"/>
        <d v="2025-05-23T00:00:00"/>
        <d v="2025-07-31T00:00:00"/>
        <d v="2025-07-27T00:00:00"/>
        <d v="2025-02-09T00:00:00"/>
        <d v="2025-01-25T00:00:00"/>
        <d v="2025-08-03T00:00:00"/>
        <d v="2025-02-15T00:00:00"/>
        <d v="2025-07-05T00:00:00"/>
        <d v="2025-11-02T00:00:00"/>
        <d v="2025-04-26T00:00:00"/>
        <d v="2025-03-01T00:00:00"/>
        <d v="2025-05-24T00:00:00"/>
        <d v="2025-04-13T00:00:00"/>
        <d v="2025-07-24T00:00:00"/>
        <d v="2025-04-19T00:00:00"/>
        <d v="2025-06-22T00:00:00"/>
        <d v="2025-11-07T00:00:00"/>
        <d v="2025-09-02T00:00:00"/>
        <d v="2025-12-15T00:00:00"/>
        <d v="2025-08-01T00:00:00"/>
        <d v="2025-09-18T00:00:00"/>
        <d v="2025-04-08T00:00:00"/>
        <d v="2025-06-26T00:00:00"/>
        <d v="2025-08-07T00:00:00"/>
        <d v="2025-10-17T00:00:00"/>
        <d v="2025-05-29T00:00:00"/>
        <d v="2025-12-09T00:00:00"/>
        <d v="2025-07-03T00:00:00"/>
        <d v="2025-04-30T00:00:00"/>
        <d v="2025-12-14T00:00:00"/>
        <d v="2025-01-14T00:00:00"/>
        <d v="2025-06-07T00:00:00"/>
        <d v="2025-12-28T00:00:00"/>
        <d v="2025-08-26T00:00:00"/>
        <d v="2025-08-12T00:00:00"/>
        <d v="2025-01-01T00:00:00"/>
        <d v="2025-05-09T00:00:00"/>
        <d v="2025-01-29T00:00:00"/>
        <d v="2025-10-12T00:00:00"/>
        <d v="2025-03-22T00:00:00"/>
        <d v="2025-07-11T00:00:00"/>
        <d v="2025-06-29T00:00:00"/>
        <d v="2025-04-01T00:00:00"/>
        <d v="2025-12-10T00:00:00"/>
        <d v="2025-11-29T00:00:00"/>
        <d v="2025-12-02T00:00:00"/>
        <d v="2025-01-15T00:00:00"/>
        <d v="2025-05-21T00:00:00"/>
        <d v="2025-07-20T00:00:00"/>
        <d v="2025-11-06T00:00:00"/>
        <d v="2025-02-12T00:00:00"/>
        <d v="2025-10-21T00:00:00"/>
        <d v="2025-08-08T00:00:00"/>
        <d v="2025-09-09T00:00:00"/>
        <d v="2025-12-19T00:00:00"/>
        <d v="2025-03-31T00:00:00"/>
        <d v="2025-08-23T00:00:00"/>
        <d v="2025-01-11T00:00:00"/>
      </sharedItems>
      <fieldGroup par="11"/>
    </cacheField>
    <cacheField name="Customer" numFmtId="0">
      <sharedItems/>
    </cacheField>
    <cacheField name="City" numFmtId="0">
      <sharedItems/>
    </cacheField>
    <cacheField name="Category" numFmtId="0">
      <sharedItems count="4">
        <s v="Grocery"/>
        <s v="Electronics"/>
        <s v="Office"/>
        <s v="Furniture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3.45" maxValue="4994.29"/>
    </cacheField>
    <cacheField name="Discount%" numFmtId="0">
      <sharedItems containsSemiMixedTypes="0" containsString="0" containsNumber="1" containsInteger="1" minValue="0" maxValue="20"/>
    </cacheField>
    <cacheField name="Salesperson" numFmtId="0">
      <sharedItems count="5">
        <s v="Sonal"/>
        <s v="Karan"/>
        <s v="Amit"/>
        <s v="Pooja"/>
        <s v="Nitin"/>
      </sharedItems>
    </cacheField>
    <cacheField name="Days (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" refreshedDate="46219.457806018516" createdVersion="8" refreshedVersion="8" minRefreshableVersion="3" recordCount="500" xr:uid="{CC6F5A72-CECB-4C1A-B373-39243B53526F}">
  <cacheSource type="worksheet">
    <worksheetSource ref="A1:L501" sheet="Data"/>
  </cacheSource>
  <cacheFields count="14">
    <cacheField name="OrderID" numFmtId="0">
      <sharedItems containsSemiMixedTypes="0" containsString="0" containsNumber="1" containsInteger="1" minValue="10001" maxValue="10500"/>
    </cacheField>
    <cacheField name="Date" numFmtId="14">
      <sharedItems containsSemiMixedTypes="0" containsNonDate="0" containsDate="1" containsString="0" minDate="2025-01-01T00:00:00" maxDate="2026-01-01T00:00:00" count="274">
        <d v="2025-07-07T00:00:00"/>
        <d v="2025-07-04T00:00:00"/>
        <d v="2025-11-13T00:00:00"/>
        <d v="2025-04-23T00:00:00"/>
        <d v="2025-07-01T00:00:00"/>
        <d v="2025-03-04T00:00:00"/>
        <d v="2025-07-29T00:00:00"/>
        <d v="2025-06-30T00:00:00"/>
        <d v="2025-09-04T00:00:00"/>
        <d v="2025-03-09T00:00:00"/>
        <d v="2025-11-10T00:00:00"/>
        <d v="2025-01-23T00:00:00"/>
        <d v="2025-11-03T00:00:00"/>
        <d v="2025-12-11T00:00:00"/>
        <d v="2025-07-25T00:00:00"/>
        <d v="2025-01-26T00:00:00"/>
        <d v="2025-02-27T00:00:00"/>
        <d v="2025-02-02T00:00:00"/>
        <d v="2025-07-15T00:00:00"/>
        <d v="2025-02-10T00:00:00"/>
        <d v="2025-04-03T00:00:00"/>
        <d v="2025-09-06T00:00:00"/>
        <d v="2025-12-06T00:00:00"/>
        <d v="2025-01-30T00:00:00"/>
        <d v="2025-05-31T00:00:00"/>
        <d v="2025-07-26T00:00:00"/>
        <d v="2025-01-21T00:00:00"/>
        <d v="2025-11-20T00:00:00"/>
        <d v="2025-02-16T00:00:00"/>
        <d v="2025-08-30T00:00:00"/>
        <d v="2025-06-10T00:00:00"/>
        <d v="2025-05-27T00:00:00"/>
        <d v="2025-06-18T00:00:00"/>
        <d v="2025-11-17T00:00:00"/>
        <d v="2025-06-21T00:00:00"/>
        <d v="2025-06-23T00:00:00"/>
        <d v="2025-09-28T00:00:00"/>
        <d v="2025-06-19T00:00:00"/>
        <d v="2025-12-05T00:00:00"/>
        <d v="2025-05-17T00:00:00"/>
        <d v="2025-12-12T00:00:00"/>
        <d v="2025-02-23T00:00:00"/>
        <d v="2025-08-20T00:00:00"/>
        <d v="2025-03-07T00:00:00"/>
        <d v="2025-02-20T00:00:00"/>
        <d v="2025-04-10T00:00:00"/>
        <d v="2025-04-28T00:00:00"/>
        <d v="2025-08-13T00:00:00"/>
        <d v="2025-07-23T00:00:00"/>
        <d v="2025-10-05T00:00:00"/>
        <d v="2025-07-30T00:00:00"/>
        <d v="2025-07-13T00:00:00"/>
        <d v="2025-08-10T00:00:00"/>
        <d v="2025-08-22T00:00:00"/>
        <d v="2025-12-03T00:00:00"/>
        <d v="2025-01-28T00:00:00"/>
        <d v="2025-10-04T00:00:00"/>
        <d v="2025-04-09T00:00:00"/>
        <d v="2025-09-20T00:00:00"/>
        <d v="2025-01-31T00:00:00"/>
        <d v="2025-09-24T00:00:00"/>
        <d v="2025-03-27T00:00:00"/>
        <d v="2025-10-03T00:00:00"/>
        <d v="2025-02-07T00:00:00"/>
        <d v="2025-12-27T00:00:00"/>
        <d v="2025-12-18T00:00:00"/>
        <d v="2025-12-25T00:00:00"/>
        <d v="2025-02-25T00:00:00"/>
        <d v="2025-10-26T00:00:00"/>
        <d v="2025-04-15T00:00:00"/>
        <d v="2025-03-14T00:00:00"/>
        <d v="2025-08-31T00:00:00"/>
        <d v="2025-02-26T00:00:00"/>
        <d v="2025-12-24T00:00:00"/>
        <d v="2025-12-07T00:00:00"/>
        <d v="2025-03-23T00:00:00"/>
        <d v="2025-02-24T00:00:00"/>
        <d v="2025-02-22T00:00:00"/>
        <d v="2025-07-09T00:00:00"/>
        <d v="2025-10-07T00:00:00"/>
        <d v="2025-04-07T00:00:00"/>
        <d v="2025-08-09T00:00:00"/>
        <d v="2025-03-17T00:00:00"/>
        <d v="2025-09-30T00:00:00"/>
        <d v="2025-09-15T00:00:00"/>
        <d v="2025-09-19T00:00:00"/>
        <d v="2025-09-22T00:00:00"/>
        <d v="2025-08-14T00:00:00"/>
        <d v="2025-12-20T00:00:00"/>
        <d v="2025-09-27T00:00:00"/>
        <d v="2025-09-05T00:00:00"/>
        <d v="2025-06-24T00:00:00"/>
        <d v="2025-08-02T00:00:00"/>
        <d v="2025-10-18T00:00:00"/>
        <d v="2025-02-18T00:00:00"/>
        <d v="2025-10-23T00:00:00"/>
        <d v="2025-05-19T00:00:00"/>
        <d v="2025-11-27T00:00:00"/>
        <d v="2025-11-24T00:00:00"/>
        <d v="2025-09-11T00:00:00"/>
        <d v="2025-08-15T00:00:00"/>
        <d v="2025-11-14T00:00:00"/>
        <d v="2025-05-03T00:00:00"/>
        <d v="2025-03-03T00:00:00"/>
        <d v="2025-09-29T00:00:00"/>
        <d v="2025-03-05T00:00:00"/>
        <d v="2025-06-16T00:00:00"/>
        <d v="2025-04-20T00:00:00"/>
        <d v="2025-08-17T00:00:00"/>
        <d v="2025-01-27T00:00:00"/>
        <d v="2025-12-21T00:00:00"/>
        <d v="2025-07-06T00:00:00"/>
        <d v="2025-11-26T00:00:00"/>
        <d v="2025-05-14T00:00:00"/>
        <d v="2025-09-03T00:00:00"/>
        <d v="2025-01-18T00:00:00"/>
        <d v="2025-01-08T00:00:00"/>
        <d v="2025-04-02T00:00:00"/>
        <d v="2025-05-30T00:00:00"/>
        <d v="2025-03-11T00:00:00"/>
        <d v="2025-05-02T00:00:00"/>
        <d v="2025-02-11T00:00:00"/>
        <d v="2025-07-14T00:00:00"/>
        <d v="2025-07-19T00:00:00"/>
        <d v="2025-01-07T00:00:00"/>
        <d v="2025-03-16T00:00:00"/>
        <d v="2025-02-05T00:00:00"/>
        <d v="2025-04-27T00:00:00"/>
        <d v="2025-08-21T00:00:00"/>
        <d v="2025-09-17T00:00:00"/>
        <d v="2025-10-01T00:00:00"/>
        <d v="2025-07-22T00:00:00"/>
        <d v="2025-02-28T00:00:00"/>
        <d v="2025-12-17T00:00:00"/>
        <d v="2025-10-27T00:00:00"/>
        <d v="2025-05-13T00:00:00"/>
        <d v="2025-08-05T00:00:00"/>
        <d v="2025-01-09T00:00:00"/>
        <d v="2025-11-19T00:00:00"/>
        <d v="2025-01-22T00:00:00"/>
        <d v="2025-06-12T00:00:00"/>
        <d v="2025-12-22T00:00:00"/>
        <d v="2025-07-08T00:00:00"/>
        <d v="2025-11-09T00:00:00"/>
        <d v="2025-01-12T00:00:00"/>
        <d v="2025-04-25T00:00:00"/>
        <d v="2025-03-25T00:00:00"/>
        <d v="2025-11-01T00:00:00"/>
        <d v="2025-08-16T00:00:00"/>
        <d v="2025-04-12T00:00:00"/>
        <d v="2025-05-22T00:00:00"/>
        <d v="2025-01-02T00:00:00"/>
        <d v="2025-02-08T00:00:00"/>
        <d v="2025-10-10T00:00:00"/>
        <d v="2025-10-22T00:00:00"/>
        <d v="2025-12-31T00:00:00"/>
        <d v="2025-09-25T00:00:00"/>
        <d v="2025-10-08T00:00:00"/>
        <d v="2025-03-06T00:00:00"/>
        <d v="2025-03-13T00:00:00"/>
        <d v="2025-04-24T00:00:00"/>
        <d v="2025-01-10T00:00:00"/>
        <d v="2025-01-05T00:00:00"/>
        <d v="2025-09-13T00:00:00"/>
        <d v="2025-09-12T00:00:00"/>
        <d v="2025-04-05T00:00:00"/>
        <d v="2025-10-15T00:00:00"/>
        <d v="2025-11-08T00:00:00"/>
        <d v="2025-05-28T00:00:00"/>
        <d v="2025-07-18T00:00:00"/>
        <d v="2025-05-15T00:00:00"/>
        <d v="2025-11-30T00:00:00"/>
        <d v="2025-10-14T00:00:00"/>
        <d v="2025-02-19T00:00:00"/>
        <d v="2025-08-27T00:00:00"/>
        <d v="2025-10-25T00:00:00"/>
        <d v="2025-11-22T00:00:00"/>
        <d v="2025-06-13T00:00:00"/>
        <d v="2025-01-16T00:00:00"/>
        <d v="2025-03-08T00:00:00"/>
        <d v="2025-03-18T00:00:00"/>
        <d v="2025-08-24T00:00:00"/>
        <d v="2025-07-10T00:00:00"/>
        <d v="2025-06-05T00:00:00"/>
        <d v="2025-07-28T00:00:00"/>
        <d v="2025-06-28T00:00:00"/>
        <d v="2025-06-17T00:00:00"/>
        <d v="2025-11-23T00:00:00"/>
        <d v="2025-08-04T00:00:00"/>
        <d v="2025-05-08T00:00:00"/>
        <d v="2025-11-16T00:00:00"/>
        <d v="2025-09-07T00:00:00"/>
        <d v="2025-08-25T00:00:00"/>
        <d v="2025-01-19T00:00:00"/>
        <d v="2025-04-14T00:00:00"/>
        <d v="2025-11-04T00:00:00"/>
        <d v="2025-06-20T00:00:00"/>
        <d v="2025-10-28T00:00:00"/>
        <d v="2025-10-02T00:00:00"/>
        <d v="2025-10-16T00:00:00"/>
        <d v="2025-12-13T00:00:00"/>
        <d v="2025-05-11T00:00:00"/>
        <d v="2025-05-25T00:00:00"/>
        <d v="2025-03-26T00:00:00"/>
        <d v="2025-02-14T00:00:00"/>
        <d v="2025-02-17T00:00:00"/>
        <d v="2025-02-13T00:00:00"/>
        <d v="2025-04-11T00:00:00"/>
        <d v="2025-03-30T00:00:00"/>
        <d v="2025-06-02T00:00:00"/>
        <d v="2025-08-19T00:00:00"/>
        <d v="2025-03-15T00:00:00"/>
        <d v="2025-02-03T00:00:00"/>
        <d v="2025-09-08T00:00:00"/>
        <d v="2025-10-31T00:00:00"/>
        <d v="2025-06-06T00:00:00"/>
        <d v="2025-05-23T00:00:00"/>
        <d v="2025-07-31T00:00:00"/>
        <d v="2025-07-27T00:00:00"/>
        <d v="2025-02-09T00:00:00"/>
        <d v="2025-01-25T00:00:00"/>
        <d v="2025-08-03T00:00:00"/>
        <d v="2025-02-15T00:00:00"/>
        <d v="2025-07-05T00:00:00"/>
        <d v="2025-11-02T00:00:00"/>
        <d v="2025-04-26T00:00:00"/>
        <d v="2025-03-01T00:00:00"/>
        <d v="2025-05-24T00:00:00"/>
        <d v="2025-04-13T00:00:00"/>
        <d v="2025-07-24T00:00:00"/>
        <d v="2025-04-19T00:00:00"/>
        <d v="2025-06-22T00:00:00"/>
        <d v="2025-11-07T00:00:00"/>
        <d v="2025-09-02T00:00:00"/>
        <d v="2025-12-15T00:00:00"/>
        <d v="2025-08-01T00:00:00"/>
        <d v="2025-09-18T00:00:00"/>
        <d v="2025-04-08T00:00:00"/>
        <d v="2025-06-26T00:00:00"/>
        <d v="2025-08-07T00:00:00"/>
        <d v="2025-10-17T00:00:00"/>
        <d v="2025-05-29T00:00:00"/>
        <d v="2025-12-09T00:00:00"/>
        <d v="2025-07-03T00:00:00"/>
        <d v="2025-04-30T00:00:00"/>
        <d v="2025-12-14T00:00:00"/>
        <d v="2025-01-14T00:00:00"/>
        <d v="2025-06-07T00:00:00"/>
        <d v="2025-12-28T00:00:00"/>
        <d v="2025-08-26T00:00:00"/>
        <d v="2025-08-12T00:00:00"/>
        <d v="2025-01-01T00:00:00"/>
        <d v="2025-05-09T00:00:00"/>
        <d v="2025-01-29T00:00:00"/>
        <d v="2025-10-12T00:00:00"/>
        <d v="2025-03-22T00:00:00"/>
        <d v="2025-07-11T00:00:00"/>
        <d v="2025-06-29T00:00:00"/>
        <d v="2025-04-01T00:00:00"/>
        <d v="2025-12-10T00:00:00"/>
        <d v="2025-11-29T00:00:00"/>
        <d v="2025-12-02T00:00:00"/>
        <d v="2025-01-15T00:00:00"/>
        <d v="2025-05-21T00:00:00"/>
        <d v="2025-07-20T00:00:00"/>
        <d v="2025-11-06T00:00:00"/>
        <d v="2025-02-12T00:00:00"/>
        <d v="2025-10-21T00:00:00"/>
        <d v="2025-08-08T00:00:00"/>
        <d v="2025-09-09T00:00:00"/>
        <d v="2025-12-19T00:00:00"/>
        <d v="2025-03-31T00:00:00"/>
        <d v="2025-08-23T00:00:00"/>
        <d v="2025-01-11T00:00:00"/>
      </sharedItems>
      <fieldGroup par="13"/>
    </cacheField>
    <cacheField name="Customer" numFmtId="0">
      <sharedItems/>
    </cacheField>
    <cacheField name="City" numFmtId="0">
      <sharedItems count="10">
        <s v="Patna"/>
        <s v="Mumbai"/>
        <s v="Bhopal"/>
        <s v="Pune"/>
        <s v="Delhi"/>
        <s v="Jaipur"/>
        <s v="Lucknow"/>
        <s v="Kolkata"/>
        <s v="Chennai"/>
        <s v="Indore"/>
      </sharedItems>
    </cacheField>
    <cacheField name="Category" numFmtId="0">
      <sharedItems count="4">
        <s v="Grocery"/>
        <s v="Electronics"/>
        <s v="Office"/>
        <s v="Furniture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3.45" maxValue="4994.29"/>
    </cacheField>
    <cacheField name="Discount%" numFmtId="0">
      <sharedItems containsSemiMixedTypes="0" containsString="0" containsNumber="1" containsInteger="1" minValue="0" maxValue="20"/>
    </cacheField>
    <cacheField name="Salesperson" numFmtId="0">
      <sharedItems count="5">
        <s v="Sonal"/>
        <s v="Karan"/>
        <s v="Amit"/>
        <s v="Pooja"/>
        <s v="Nitin"/>
      </sharedItems>
    </cacheField>
    <cacheField name="Total" numFmtId="0">
      <sharedItems containsSemiMixedTypes="0" containsString="0" containsNumber="1" minValue="131.38" maxValue="94891.51"/>
    </cacheField>
    <cacheField name="Net" numFmtId="0">
      <sharedItems containsSemiMixedTypes="0" containsString="0" containsNumber="1" minValue="131.38" maxValue="91158.77"/>
    </cacheField>
    <cacheField name="Days (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1"/>
    <x v="0"/>
    <s v="Meera"/>
    <s v="Patna"/>
    <x v="0"/>
    <s v="Rice"/>
    <n v="13"/>
    <n v="1544.73"/>
    <n v="15"/>
    <x v="0"/>
  </r>
  <r>
    <n v="10002"/>
    <x v="1"/>
    <s v="Diya"/>
    <s v="Mumbai"/>
    <x v="1"/>
    <s v="Mouse"/>
    <n v="20"/>
    <n v="1583.87"/>
    <n v="5"/>
    <x v="1"/>
  </r>
  <r>
    <n v="10003"/>
    <x v="2"/>
    <s v="Neha"/>
    <s v="Bhopal"/>
    <x v="0"/>
    <s v="Coffee"/>
    <n v="17"/>
    <n v="4228.53"/>
    <n v="20"/>
    <x v="2"/>
  </r>
  <r>
    <n v="10004"/>
    <x v="3"/>
    <s v="Priya"/>
    <s v="Pune"/>
    <x v="0"/>
    <s v="Coffee"/>
    <n v="6"/>
    <n v="1965.31"/>
    <n v="15"/>
    <x v="3"/>
  </r>
  <r>
    <n v="10005"/>
    <x v="4"/>
    <s v="Sneha"/>
    <s v="Pune"/>
    <x v="1"/>
    <s v="Monitor"/>
    <n v="1"/>
    <n v="4661.57"/>
    <n v="10"/>
    <x v="0"/>
  </r>
  <r>
    <n v="10006"/>
    <x v="5"/>
    <s v="Diya"/>
    <s v="Delhi"/>
    <x v="1"/>
    <s v="Monitor"/>
    <n v="9"/>
    <n v="4775.83"/>
    <n v="20"/>
    <x v="4"/>
  </r>
  <r>
    <n v="10007"/>
    <x v="6"/>
    <s v="Arjun"/>
    <s v="Pune"/>
    <x v="1"/>
    <s v="Mouse"/>
    <n v="10"/>
    <n v="2195"/>
    <n v="5"/>
    <x v="4"/>
  </r>
  <r>
    <n v="10008"/>
    <x v="7"/>
    <s v="Vihaan"/>
    <s v="Mumbai"/>
    <x v="0"/>
    <s v="Tea"/>
    <n v="3"/>
    <n v="1341.02"/>
    <n v="0"/>
    <x v="0"/>
  </r>
  <r>
    <n v="10009"/>
    <x v="8"/>
    <s v="Diya"/>
    <s v="Bhopal"/>
    <x v="2"/>
    <s v="Pen"/>
    <n v="5"/>
    <n v="3049.83"/>
    <n v="0"/>
    <x v="0"/>
  </r>
  <r>
    <n v="10010"/>
    <x v="9"/>
    <s v="Meera"/>
    <s v="Delhi"/>
    <x v="1"/>
    <s v="Keyboard"/>
    <n v="3"/>
    <n v="4281.4799999999996"/>
    <n v="10"/>
    <x v="4"/>
  </r>
  <r>
    <n v="10011"/>
    <x v="10"/>
    <s v="Meera"/>
    <s v="Jaipur"/>
    <x v="2"/>
    <s v="Notebook"/>
    <n v="9"/>
    <n v="3933.1"/>
    <n v="20"/>
    <x v="4"/>
  </r>
  <r>
    <n v="10012"/>
    <x v="11"/>
    <s v="Neha"/>
    <s v="Jaipur"/>
    <x v="1"/>
    <s v="Keyboard"/>
    <n v="16"/>
    <n v="1934.04"/>
    <n v="5"/>
    <x v="0"/>
  </r>
  <r>
    <n v="10013"/>
    <x v="12"/>
    <s v="Aarav"/>
    <s v="Mumbai"/>
    <x v="3"/>
    <s v="Desk"/>
    <n v="17"/>
    <n v="3573.48"/>
    <n v="20"/>
    <x v="3"/>
  </r>
  <r>
    <n v="10014"/>
    <x v="13"/>
    <s v="Ishaan"/>
    <s v="Pune"/>
    <x v="0"/>
    <s v="Coffee"/>
    <n v="2"/>
    <n v="4119.25"/>
    <n v="20"/>
    <x v="2"/>
  </r>
  <r>
    <n v="10015"/>
    <x v="14"/>
    <s v="Anaya"/>
    <s v="Patna"/>
    <x v="2"/>
    <s v="Notebook"/>
    <n v="12"/>
    <n v="3746.44"/>
    <n v="20"/>
    <x v="1"/>
  </r>
  <r>
    <n v="10016"/>
    <x v="15"/>
    <s v="Anaya"/>
    <s v="Jaipur"/>
    <x v="0"/>
    <s v="Tea"/>
    <n v="20"/>
    <n v="1527.48"/>
    <n v="20"/>
    <x v="4"/>
  </r>
  <r>
    <n v="10017"/>
    <x v="16"/>
    <s v="Neha"/>
    <s v="Patna"/>
    <x v="2"/>
    <s v="Marker"/>
    <n v="19"/>
    <n v="4994.29"/>
    <n v="15"/>
    <x v="1"/>
  </r>
  <r>
    <n v="10018"/>
    <x v="17"/>
    <s v="Meera"/>
    <s v="Bhopal"/>
    <x v="0"/>
    <s v="Coffee"/>
    <n v="14"/>
    <n v="2289.5700000000002"/>
    <n v="20"/>
    <x v="2"/>
  </r>
  <r>
    <n v="10019"/>
    <x v="18"/>
    <s v="Vihaan"/>
    <s v="Lucknow"/>
    <x v="3"/>
    <s v="Cabinet"/>
    <n v="13"/>
    <n v="2094.8200000000002"/>
    <n v="15"/>
    <x v="3"/>
  </r>
  <r>
    <n v="10020"/>
    <x v="5"/>
    <s v="Diya"/>
    <s v="Kolkata"/>
    <x v="1"/>
    <s v="Mouse"/>
    <n v="12"/>
    <n v="2786.09"/>
    <n v="15"/>
    <x v="3"/>
  </r>
  <r>
    <n v="10021"/>
    <x v="19"/>
    <s v="Neha"/>
    <s v="Lucknow"/>
    <x v="2"/>
    <s v="Pen"/>
    <n v="18"/>
    <n v="4654.1499999999996"/>
    <n v="20"/>
    <x v="4"/>
  </r>
  <r>
    <n v="10022"/>
    <x v="20"/>
    <s v="Kabir"/>
    <s v="Bhopal"/>
    <x v="3"/>
    <s v="Table"/>
    <n v="18"/>
    <n v="173.08"/>
    <n v="0"/>
    <x v="2"/>
  </r>
  <r>
    <n v="10023"/>
    <x v="21"/>
    <s v="Kabir"/>
    <s v="Bhopal"/>
    <x v="2"/>
    <s v="Stapler"/>
    <n v="11"/>
    <n v="1761.18"/>
    <n v="10"/>
    <x v="4"/>
  </r>
  <r>
    <n v="10024"/>
    <x v="22"/>
    <s v="Vihaan"/>
    <s v="Delhi"/>
    <x v="1"/>
    <s v="Mouse"/>
    <n v="18"/>
    <n v="733.78"/>
    <n v="5"/>
    <x v="0"/>
  </r>
  <r>
    <n v="10025"/>
    <x v="23"/>
    <s v="Meera"/>
    <s v="Delhi"/>
    <x v="3"/>
    <s v="Desk"/>
    <n v="17"/>
    <n v="1312.74"/>
    <n v="10"/>
    <x v="1"/>
  </r>
  <r>
    <n v="10026"/>
    <x v="24"/>
    <s v="Arjun"/>
    <s v="Mumbai"/>
    <x v="2"/>
    <s v="Notebook"/>
    <n v="20"/>
    <n v="2066.4899999999998"/>
    <n v="15"/>
    <x v="1"/>
  </r>
  <r>
    <n v="10027"/>
    <x v="25"/>
    <s v="Vihaan"/>
    <s v="Jaipur"/>
    <x v="2"/>
    <s v="Stapler"/>
    <n v="20"/>
    <n v="418.14"/>
    <n v="15"/>
    <x v="4"/>
  </r>
  <r>
    <n v="10028"/>
    <x v="26"/>
    <s v="Neha"/>
    <s v="Kolkata"/>
    <x v="2"/>
    <s v="Stapler"/>
    <n v="12"/>
    <n v="4542.32"/>
    <n v="0"/>
    <x v="4"/>
  </r>
  <r>
    <n v="10029"/>
    <x v="27"/>
    <s v="Meera"/>
    <s v="Patna"/>
    <x v="3"/>
    <s v="Cabinet"/>
    <n v="3"/>
    <n v="2580.2399999999998"/>
    <n v="15"/>
    <x v="1"/>
  </r>
  <r>
    <n v="10030"/>
    <x v="28"/>
    <s v="Diya"/>
    <s v="Chennai"/>
    <x v="2"/>
    <s v="Marker"/>
    <n v="19"/>
    <n v="3437.64"/>
    <n v="20"/>
    <x v="3"/>
  </r>
  <r>
    <n v="10031"/>
    <x v="29"/>
    <s v="Arjun"/>
    <s v="Jaipur"/>
    <x v="2"/>
    <s v="Stapler"/>
    <n v="4"/>
    <n v="434.33"/>
    <n v="5"/>
    <x v="3"/>
  </r>
  <r>
    <n v="10032"/>
    <x v="30"/>
    <s v="Priya"/>
    <s v="Indore"/>
    <x v="3"/>
    <s v="Table"/>
    <n v="4"/>
    <n v="337.59"/>
    <n v="15"/>
    <x v="2"/>
  </r>
  <r>
    <n v="10033"/>
    <x v="31"/>
    <s v="Sneha"/>
    <s v="Delhi"/>
    <x v="1"/>
    <s v="Keyboard"/>
    <n v="5"/>
    <n v="3902.93"/>
    <n v="5"/>
    <x v="2"/>
  </r>
  <r>
    <n v="10034"/>
    <x v="32"/>
    <s v="Diya"/>
    <s v="Jaipur"/>
    <x v="2"/>
    <s v="Marker"/>
    <n v="14"/>
    <n v="1509.22"/>
    <n v="5"/>
    <x v="1"/>
  </r>
  <r>
    <n v="10035"/>
    <x v="33"/>
    <s v="Aarav"/>
    <s v="Lucknow"/>
    <x v="2"/>
    <s v="Pen"/>
    <n v="17"/>
    <n v="1591.6"/>
    <n v="15"/>
    <x v="1"/>
  </r>
  <r>
    <n v="10036"/>
    <x v="34"/>
    <s v="Vihaan"/>
    <s v="Pune"/>
    <x v="0"/>
    <s v="Tea"/>
    <n v="20"/>
    <n v="3357.81"/>
    <n v="10"/>
    <x v="3"/>
  </r>
  <r>
    <n v="10037"/>
    <x v="35"/>
    <s v="Meera"/>
    <s v="Indore"/>
    <x v="1"/>
    <s v="Monitor"/>
    <n v="6"/>
    <n v="1861.79"/>
    <n v="15"/>
    <x v="3"/>
  </r>
  <r>
    <n v="10038"/>
    <x v="36"/>
    <s v="Vihaan"/>
    <s v="Jaipur"/>
    <x v="3"/>
    <s v="Chair"/>
    <n v="5"/>
    <n v="572.41"/>
    <n v="20"/>
    <x v="4"/>
  </r>
  <r>
    <n v="10039"/>
    <x v="37"/>
    <s v="Diya"/>
    <s v="Kolkata"/>
    <x v="3"/>
    <s v="Desk"/>
    <n v="20"/>
    <n v="4485.22"/>
    <n v="0"/>
    <x v="4"/>
  </r>
  <r>
    <n v="10040"/>
    <x v="34"/>
    <s v="Anaya"/>
    <s v="Patna"/>
    <x v="0"/>
    <s v="Tea"/>
    <n v="4"/>
    <n v="1993.86"/>
    <n v="10"/>
    <x v="2"/>
  </r>
  <r>
    <n v="10041"/>
    <x v="38"/>
    <s v="Kabir"/>
    <s v="Jaipur"/>
    <x v="3"/>
    <s v="Chair"/>
    <n v="9"/>
    <n v="4037.39"/>
    <n v="20"/>
    <x v="3"/>
  </r>
  <r>
    <n v="10042"/>
    <x v="39"/>
    <s v="Arjun"/>
    <s v="Bhopal"/>
    <x v="2"/>
    <s v="Stapler"/>
    <n v="14"/>
    <n v="274.37"/>
    <n v="0"/>
    <x v="2"/>
  </r>
  <r>
    <n v="10043"/>
    <x v="40"/>
    <s v="Meera"/>
    <s v="Pune"/>
    <x v="2"/>
    <s v="Marker"/>
    <n v="9"/>
    <n v="676.19"/>
    <n v="20"/>
    <x v="4"/>
  </r>
  <r>
    <n v="10044"/>
    <x v="41"/>
    <s v="Sneha"/>
    <s v="Jaipur"/>
    <x v="1"/>
    <s v="Monitor"/>
    <n v="4"/>
    <n v="4588.93"/>
    <n v="5"/>
    <x v="3"/>
  </r>
  <r>
    <n v="10045"/>
    <x v="37"/>
    <s v="Ishaan"/>
    <s v="Mumbai"/>
    <x v="0"/>
    <s v="Tea"/>
    <n v="2"/>
    <n v="2343.98"/>
    <n v="20"/>
    <x v="2"/>
  </r>
  <r>
    <n v="10046"/>
    <x v="42"/>
    <s v="Arjun"/>
    <s v="Delhi"/>
    <x v="3"/>
    <s v="Desk"/>
    <n v="10"/>
    <n v="1534.77"/>
    <n v="15"/>
    <x v="4"/>
  </r>
  <r>
    <n v="10047"/>
    <x v="43"/>
    <s v="Sneha"/>
    <s v="Jaipur"/>
    <x v="2"/>
    <s v="Notebook"/>
    <n v="8"/>
    <n v="542.69000000000005"/>
    <n v="15"/>
    <x v="2"/>
  </r>
  <r>
    <n v="10048"/>
    <x v="44"/>
    <s v="Kabir"/>
    <s v="Kolkata"/>
    <x v="0"/>
    <s v="Coffee"/>
    <n v="10"/>
    <n v="2706.3"/>
    <n v="5"/>
    <x v="3"/>
  </r>
  <r>
    <n v="10049"/>
    <x v="45"/>
    <s v="Diya"/>
    <s v="Indore"/>
    <x v="1"/>
    <s v="Monitor"/>
    <n v="15"/>
    <n v="2648.86"/>
    <n v="5"/>
    <x v="0"/>
  </r>
  <r>
    <n v="10050"/>
    <x v="46"/>
    <s v="Arjun"/>
    <s v="Pune"/>
    <x v="1"/>
    <s v="Monitor"/>
    <n v="12"/>
    <n v="1541.59"/>
    <n v="0"/>
    <x v="3"/>
  </r>
  <r>
    <n v="10051"/>
    <x v="47"/>
    <s v="Aarav"/>
    <s v="Patna"/>
    <x v="3"/>
    <s v="Chair"/>
    <n v="11"/>
    <n v="3051.48"/>
    <n v="15"/>
    <x v="4"/>
  </r>
  <r>
    <n v="10052"/>
    <x v="48"/>
    <s v="Rohan"/>
    <s v="Patna"/>
    <x v="0"/>
    <s v="Coffee"/>
    <n v="2"/>
    <n v="3611.78"/>
    <n v="15"/>
    <x v="0"/>
  </r>
  <r>
    <n v="10053"/>
    <x v="49"/>
    <s v="Rohan"/>
    <s v="Bhopal"/>
    <x v="1"/>
    <s v="Mouse"/>
    <n v="15"/>
    <n v="2589.92"/>
    <n v="0"/>
    <x v="2"/>
  </r>
  <r>
    <n v="10054"/>
    <x v="50"/>
    <s v="Sneha"/>
    <s v="Chennai"/>
    <x v="3"/>
    <s v="Desk"/>
    <n v="13"/>
    <n v="2589.94"/>
    <n v="0"/>
    <x v="1"/>
  </r>
  <r>
    <n v="10055"/>
    <x v="51"/>
    <s v="Anaya"/>
    <s v="Patna"/>
    <x v="2"/>
    <s v="Pen"/>
    <n v="12"/>
    <n v="170.4"/>
    <n v="10"/>
    <x v="1"/>
  </r>
  <r>
    <n v="10056"/>
    <x v="52"/>
    <s v="Ishaan"/>
    <s v="Jaipur"/>
    <x v="3"/>
    <s v="Table"/>
    <n v="14"/>
    <n v="2075.6799999999998"/>
    <n v="20"/>
    <x v="4"/>
  </r>
  <r>
    <n v="10057"/>
    <x v="53"/>
    <s v="Rohan"/>
    <s v="Lucknow"/>
    <x v="1"/>
    <s v="SSD"/>
    <n v="10"/>
    <n v="4128.8100000000004"/>
    <n v="20"/>
    <x v="1"/>
  </r>
  <r>
    <n v="10058"/>
    <x v="54"/>
    <s v="Priya"/>
    <s v="Mumbai"/>
    <x v="0"/>
    <s v="Coffee"/>
    <n v="19"/>
    <n v="4232.67"/>
    <n v="10"/>
    <x v="3"/>
  </r>
  <r>
    <n v="10059"/>
    <x v="35"/>
    <s v="Rohan"/>
    <s v="Delhi"/>
    <x v="2"/>
    <s v="Stapler"/>
    <n v="12"/>
    <n v="4662.53"/>
    <n v="0"/>
    <x v="0"/>
  </r>
  <r>
    <n v="10060"/>
    <x v="55"/>
    <s v="Kabir"/>
    <s v="Chennai"/>
    <x v="1"/>
    <s v="SSD"/>
    <n v="20"/>
    <n v="869.66"/>
    <n v="0"/>
    <x v="1"/>
  </r>
  <r>
    <n v="10061"/>
    <x v="56"/>
    <s v="Kabir"/>
    <s v="Jaipur"/>
    <x v="1"/>
    <s v="Mouse"/>
    <n v="17"/>
    <n v="3611.8"/>
    <n v="15"/>
    <x v="3"/>
  </r>
  <r>
    <n v="10062"/>
    <x v="57"/>
    <s v="Arjun"/>
    <s v="Pune"/>
    <x v="1"/>
    <s v="Mouse"/>
    <n v="18"/>
    <n v="2392.34"/>
    <n v="5"/>
    <x v="2"/>
  </r>
  <r>
    <n v="10063"/>
    <x v="58"/>
    <s v="Anaya"/>
    <s v="Lucknow"/>
    <x v="0"/>
    <s v="Coffee"/>
    <n v="16"/>
    <n v="2111.33"/>
    <n v="10"/>
    <x v="4"/>
  </r>
  <r>
    <n v="10064"/>
    <x v="59"/>
    <s v="Sneha"/>
    <s v="Delhi"/>
    <x v="1"/>
    <s v="SSD"/>
    <n v="7"/>
    <n v="938.38"/>
    <n v="20"/>
    <x v="2"/>
  </r>
  <r>
    <n v="10065"/>
    <x v="60"/>
    <s v="Vihaan"/>
    <s v="Jaipur"/>
    <x v="0"/>
    <s v="Coffee"/>
    <n v="17"/>
    <n v="4449.18"/>
    <n v="0"/>
    <x v="4"/>
  </r>
  <r>
    <n v="10066"/>
    <x v="61"/>
    <s v="Ishaan"/>
    <s v="Mumbai"/>
    <x v="0"/>
    <s v="Coffee"/>
    <n v="5"/>
    <n v="1209.05"/>
    <n v="5"/>
    <x v="4"/>
  </r>
  <r>
    <n v="10067"/>
    <x v="62"/>
    <s v="Meera"/>
    <s v="Jaipur"/>
    <x v="0"/>
    <s v="Coffee"/>
    <n v="19"/>
    <n v="900.11"/>
    <n v="10"/>
    <x v="2"/>
  </r>
  <r>
    <n v="10068"/>
    <x v="63"/>
    <s v="Neha"/>
    <s v="Indore"/>
    <x v="2"/>
    <s v="Stapler"/>
    <n v="13"/>
    <n v="4048.21"/>
    <n v="15"/>
    <x v="0"/>
  </r>
  <r>
    <n v="10069"/>
    <x v="64"/>
    <s v="Meera"/>
    <s v="Kolkata"/>
    <x v="2"/>
    <s v="Pen"/>
    <n v="1"/>
    <n v="4884.6000000000004"/>
    <n v="0"/>
    <x v="2"/>
  </r>
  <r>
    <n v="10070"/>
    <x v="65"/>
    <s v="Neha"/>
    <s v="Delhi"/>
    <x v="1"/>
    <s v="Mouse"/>
    <n v="14"/>
    <n v="1720.3"/>
    <n v="0"/>
    <x v="4"/>
  </r>
  <r>
    <n v="10071"/>
    <x v="66"/>
    <s v="Anaya"/>
    <s v="Bhopal"/>
    <x v="0"/>
    <s v="Sugar"/>
    <n v="14"/>
    <n v="2083.37"/>
    <n v="15"/>
    <x v="3"/>
  </r>
  <r>
    <n v="10072"/>
    <x v="54"/>
    <s v="Rohan"/>
    <s v="Chennai"/>
    <x v="2"/>
    <s v="Stapler"/>
    <n v="19"/>
    <n v="3358.24"/>
    <n v="20"/>
    <x v="1"/>
  </r>
  <r>
    <n v="10073"/>
    <x v="67"/>
    <s v="Priya"/>
    <s v="Lucknow"/>
    <x v="0"/>
    <s v="Coffee"/>
    <n v="12"/>
    <n v="3007.31"/>
    <n v="5"/>
    <x v="3"/>
  </r>
  <r>
    <n v="10074"/>
    <x v="68"/>
    <s v="Kabir"/>
    <s v="Chennai"/>
    <x v="2"/>
    <s v="Notebook"/>
    <n v="14"/>
    <n v="3121.47"/>
    <n v="15"/>
    <x v="0"/>
  </r>
  <r>
    <n v="10075"/>
    <x v="69"/>
    <s v="Vihaan"/>
    <s v="Kolkata"/>
    <x v="3"/>
    <s v="Cabinet"/>
    <n v="15"/>
    <n v="1613.45"/>
    <n v="0"/>
    <x v="3"/>
  </r>
  <r>
    <n v="10076"/>
    <x v="70"/>
    <s v="Priya"/>
    <s v="Jaipur"/>
    <x v="2"/>
    <s v="Stapler"/>
    <n v="14"/>
    <n v="2260.96"/>
    <n v="15"/>
    <x v="0"/>
  </r>
  <r>
    <n v="10077"/>
    <x v="71"/>
    <s v="Priya"/>
    <s v="Delhi"/>
    <x v="0"/>
    <s v="Tea"/>
    <n v="12"/>
    <n v="470.29"/>
    <n v="5"/>
    <x v="2"/>
  </r>
  <r>
    <n v="10078"/>
    <x v="72"/>
    <s v="Diya"/>
    <s v="Mumbai"/>
    <x v="0"/>
    <s v="Tea"/>
    <n v="11"/>
    <n v="3478.14"/>
    <n v="5"/>
    <x v="0"/>
  </r>
  <r>
    <n v="10079"/>
    <x v="40"/>
    <s v="Neha"/>
    <s v="Indore"/>
    <x v="2"/>
    <s v="Stapler"/>
    <n v="19"/>
    <n v="240.9"/>
    <n v="5"/>
    <x v="0"/>
  </r>
  <r>
    <n v="10080"/>
    <x v="61"/>
    <s v="Anaya"/>
    <s v="Indore"/>
    <x v="3"/>
    <s v="Desk"/>
    <n v="3"/>
    <n v="1240.44"/>
    <n v="0"/>
    <x v="4"/>
  </r>
  <r>
    <n v="10081"/>
    <x v="73"/>
    <s v="Arjun"/>
    <s v="Jaipur"/>
    <x v="1"/>
    <s v="Keyboard"/>
    <n v="16"/>
    <n v="3466.49"/>
    <n v="15"/>
    <x v="2"/>
  </r>
  <r>
    <n v="10082"/>
    <x v="74"/>
    <s v="Kabir"/>
    <s v="Jaipur"/>
    <x v="1"/>
    <s v="Mouse"/>
    <n v="6"/>
    <n v="2915.15"/>
    <n v="0"/>
    <x v="1"/>
  </r>
  <r>
    <n v="10083"/>
    <x v="75"/>
    <s v="Diya"/>
    <s v="Delhi"/>
    <x v="1"/>
    <s v="SSD"/>
    <n v="3"/>
    <n v="1602.24"/>
    <n v="5"/>
    <x v="2"/>
  </r>
  <r>
    <n v="10084"/>
    <x v="76"/>
    <s v="Priya"/>
    <s v="Indore"/>
    <x v="3"/>
    <s v="Chair"/>
    <n v="4"/>
    <n v="3464.11"/>
    <n v="15"/>
    <x v="0"/>
  </r>
  <r>
    <n v="10085"/>
    <x v="77"/>
    <s v="Rohan"/>
    <s v="Jaipur"/>
    <x v="3"/>
    <s v="Desk"/>
    <n v="5"/>
    <n v="4550.18"/>
    <n v="0"/>
    <x v="2"/>
  </r>
  <r>
    <n v="10086"/>
    <x v="78"/>
    <s v="Arjun"/>
    <s v="Jaipur"/>
    <x v="2"/>
    <s v="Marker"/>
    <n v="19"/>
    <n v="766.59"/>
    <n v="15"/>
    <x v="1"/>
  </r>
  <r>
    <n v="10087"/>
    <x v="79"/>
    <s v="Diya"/>
    <s v="Pune"/>
    <x v="3"/>
    <s v="Chair"/>
    <n v="6"/>
    <n v="4110.67"/>
    <n v="10"/>
    <x v="2"/>
  </r>
  <r>
    <n v="10088"/>
    <x v="17"/>
    <s v="Neha"/>
    <s v="Delhi"/>
    <x v="1"/>
    <s v="Keyboard"/>
    <n v="3"/>
    <n v="105.46"/>
    <n v="5"/>
    <x v="1"/>
  </r>
  <r>
    <n v="10089"/>
    <x v="80"/>
    <s v="Anaya"/>
    <s v="Bhopal"/>
    <x v="1"/>
    <s v="Monitor"/>
    <n v="5"/>
    <n v="2378.4499999999998"/>
    <n v="20"/>
    <x v="0"/>
  </r>
  <r>
    <n v="10090"/>
    <x v="81"/>
    <s v="Ishaan"/>
    <s v="Pune"/>
    <x v="1"/>
    <s v="Mouse"/>
    <n v="11"/>
    <n v="666.46"/>
    <n v="20"/>
    <x v="3"/>
  </r>
  <r>
    <n v="10091"/>
    <x v="82"/>
    <s v="Rohan"/>
    <s v="Pune"/>
    <x v="1"/>
    <s v="Keyboard"/>
    <n v="2"/>
    <n v="791.73"/>
    <n v="10"/>
    <x v="2"/>
  </r>
  <r>
    <n v="10092"/>
    <x v="83"/>
    <s v="Rohan"/>
    <s v="Jaipur"/>
    <x v="0"/>
    <s v="Coffee"/>
    <n v="2"/>
    <n v="428.44"/>
    <n v="10"/>
    <x v="2"/>
  </r>
  <r>
    <n v="10093"/>
    <x v="84"/>
    <s v="Anaya"/>
    <s v="Kolkata"/>
    <x v="3"/>
    <s v="Cabinet"/>
    <n v="6"/>
    <n v="979.08"/>
    <n v="15"/>
    <x v="2"/>
  </r>
  <r>
    <n v="10094"/>
    <x v="85"/>
    <s v="Ishaan"/>
    <s v="Patna"/>
    <x v="0"/>
    <s v="Tea"/>
    <n v="12"/>
    <n v="1671.13"/>
    <n v="5"/>
    <x v="0"/>
  </r>
  <r>
    <n v="10095"/>
    <x v="86"/>
    <s v="Kabir"/>
    <s v="Pune"/>
    <x v="1"/>
    <s v="Keyboard"/>
    <n v="4"/>
    <n v="4565.05"/>
    <n v="0"/>
    <x v="3"/>
  </r>
  <r>
    <n v="10096"/>
    <x v="74"/>
    <s v="Aarav"/>
    <s v="Kolkata"/>
    <x v="1"/>
    <s v="Keyboard"/>
    <n v="2"/>
    <n v="1109.28"/>
    <n v="20"/>
    <x v="2"/>
  </r>
  <r>
    <n v="10097"/>
    <x v="87"/>
    <s v="Aarav"/>
    <s v="Chennai"/>
    <x v="2"/>
    <s v="Pen"/>
    <n v="11"/>
    <n v="3118.02"/>
    <n v="5"/>
    <x v="1"/>
  </r>
  <r>
    <n v="10098"/>
    <x v="88"/>
    <s v="Vihaan"/>
    <s v="Bhopal"/>
    <x v="2"/>
    <s v="Stapler"/>
    <n v="9"/>
    <n v="2014.94"/>
    <n v="5"/>
    <x v="4"/>
  </r>
  <r>
    <n v="10099"/>
    <x v="89"/>
    <s v="Neha"/>
    <s v="Lucknow"/>
    <x v="3"/>
    <s v="Desk"/>
    <n v="17"/>
    <n v="453.02"/>
    <n v="10"/>
    <x v="0"/>
  </r>
  <r>
    <n v="10100"/>
    <x v="90"/>
    <s v="Ishaan"/>
    <s v="Chennai"/>
    <x v="2"/>
    <s v="Notebook"/>
    <n v="11"/>
    <n v="241.83"/>
    <n v="5"/>
    <x v="3"/>
  </r>
  <r>
    <n v="10101"/>
    <x v="91"/>
    <s v="Meera"/>
    <s v="Delhi"/>
    <x v="2"/>
    <s v="Notebook"/>
    <n v="9"/>
    <n v="2571.46"/>
    <n v="15"/>
    <x v="4"/>
  </r>
  <r>
    <n v="10102"/>
    <x v="92"/>
    <s v="Priya"/>
    <s v="Mumbai"/>
    <x v="3"/>
    <s v="Chair"/>
    <n v="1"/>
    <n v="1754.55"/>
    <n v="5"/>
    <x v="1"/>
  </r>
  <r>
    <n v="10103"/>
    <x v="82"/>
    <s v="Anaya"/>
    <s v="Lucknow"/>
    <x v="2"/>
    <s v="Pen"/>
    <n v="20"/>
    <n v="2192.08"/>
    <n v="15"/>
    <x v="0"/>
  </r>
  <r>
    <n v="10104"/>
    <x v="25"/>
    <s v="Arjun"/>
    <s v="Chennai"/>
    <x v="2"/>
    <s v="Pen"/>
    <n v="7"/>
    <n v="781.07"/>
    <n v="20"/>
    <x v="0"/>
  </r>
  <r>
    <n v="10105"/>
    <x v="93"/>
    <s v="Sneha"/>
    <s v="Lucknow"/>
    <x v="1"/>
    <s v="Monitor"/>
    <n v="7"/>
    <n v="3951.44"/>
    <n v="10"/>
    <x v="2"/>
  </r>
  <r>
    <n v="10106"/>
    <x v="94"/>
    <s v="Ishaan"/>
    <s v="Delhi"/>
    <x v="0"/>
    <s v="Sugar"/>
    <n v="19"/>
    <n v="471.44"/>
    <n v="10"/>
    <x v="2"/>
  </r>
  <r>
    <n v="10107"/>
    <x v="95"/>
    <s v="Neha"/>
    <s v="Jaipur"/>
    <x v="3"/>
    <s v="Cabinet"/>
    <n v="5"/>
    <n v="4851.87"/>
    <n v="15"/>
    <x v="0"/>
  </r>
  <r>
    <n v="10108"/>
    <x v="96"/>
    <s v="Sneha"/>
    <s v="Kolkata"/>
    <x v="0"/>
    <s v="Rice"/>
    <n v="2"/>
    <n v="4057.49"/>
    <n v="10"/>
    <x v="2"/>
  </r>
  <r>
    <n v="10109"/>
    <x v="97"/>
    <s v="Arjun"/>
    <s v="Chennai"/>
    <x v="2"/>
    <s v="Pen"/>
    <n v="16"/>
    <n v="2968.71"/>
    <n v="10"/>
    <x v="0"/>
  </r>
  <r>
    <n v="10110"/>
    <x v="98"/>
    <s v="Rohan"/>
    <s v="Indore"/>
    <x v="0"/>
    <s v="Tea"/>
    <n v="5"/>
    <n v="2739.88"/>
    <n v="5"/>
    <x v="1"/>
  </r>
  <r>
    <n v="10111"/>
    <x v="99"/>
    <s v="Rohan"/>
    <s v="Mumbai"/>
    <x v="3"/>
    <s v="Table"/>
    <n v="11"/>
    <n v="2903.32"/>
    <n v="10"/>
    <x v="2"/>
  </r>
  <r>
    <n v="10112"/>
    <x v="100"/>
    <s v="Priya"/>
    <s v="Pune"/>
    <x v="0"/>
    <s v="Rice"/>
    <n v="20"/>
    <n v="288.17"/>
    <n v="10"/>
    <x v="1"/>
  </r>
  <r>
    <n v="10113"/>
    <x v="101"/>
    <s v="Diya"/>
    <s v="Indore"/>
    <x v="0"/>
    <s v="Coffee"/>
    <n v="16"/>
    <n v="4823.5200000000004"/>
    <n v="10"/>
    <x v="0"/>
  </r>
  <r>
    <n v="10114"/>
    <x v="102"/>
    <s v="Arjun"/>
    <s v="Patna"/>
    <x v="2"/>
    <s v="Notebook"/>
    <n v="19"/>
    <n v="4074.87"/>
    <n v="5"/>
    <x v="4"/>
  </r>
  <r>
    <n v="10115"/>
    <x v="103"/>
    <s v="Diya"/>
    <s v="Bhopal"/>
    <x v="3"/>
    <s v="Chair"/>
    <n v="16"/>
    <n v="4030.93"/>
    <n v="10"/>
    <x v="2"/>
  </r>
  <r>
    <n v="10116"/>
    <x v="104"/>
    <s v="Arjun"/>
    <s v="Pune"/>
    <x v="3"/>
    <s v="Desk"/>
    <n v="8"/>
    <n v="1683.97"/>
    <n v="15"/>
    <x v="1"/>
  </r>
  <r>
    <n v="10117"/>
    <x v="105"/>
    <s v="Priya"/>
    <s v="Bhopal"/>
    <x v="0"/>
    <s v="Sugar"/>
    <n v="5"/>
    <n v="125.63"/>
    <n v="15"/>
    <x v="0"/>
  </r>
  <r>
    <n v="10118"/>
    <x v="38"/>
    <s v="Neha"/>
    <s v="Lucknow"/>
    <x v="0"/>
    <s v="Tea"/>
    <n v="3"/>
    <n v="2825.02"/>
    <n v="0"/>
    <x v="1"/>
  </r>
  <r>
    <n v="10119"/>
    <x v="106"/>
    <s v="Neha"/>
    <s v="Mumbai"/>
    <x v="3"/>
    <s v="Cabinet"/>
    <n v="11"/>
    <n v="1855.49"/>
    <n v="15"/>
    <x v="1"/>
  </r>
  <r>
    <n v="10120"/>
    <x v="107"/>
    <s v="Diya"/>
    <s v="Delhi"/>
    <x v="1"/>
    <s v="Keyboard"/>
    <n v="14"/>
    <n v="1299.1300000000001"/>
    <n v="15"/>
    <x v="1"/>
  </r>
  <r>
    <n v="10121"/>
    <x v="108"/>
    <s v="Neha"/>
    <s v="Lucknow"/>
    <x v="3"/>
    <s v="Table"/>
    <n v="9"/>
    <n v="3166.78"/>
    <n v="20"/>
    <x v="2"/>
  </r>
  <r>
    <n v="10122"/>
    <x v="98"/>
    <s v="Sneha"/>
    <s v="Jaipur"/>
    <x v="2"/>
    <s v="Marker"/>
    <n v="19"/>
    <n v="4797.83"/>
    <n v="0"/>
    <x v="1"/>
  </r>
  <r>
    <n v="10123"/>
    <x v="107"/>
    <s v="Diya"/>
    <s v="Indore"/>
    <x v="3"/>
    <s v="Chair"/>
    <n v="15"/>
    <n v="1636.15"/>
    <n v="15"/>
    <x v="2"/>
  </r>
  <r>
    <n v="10124"/>
    <x v="109"/>
    <s v="Vihaan"/>
    <s v="Indore"/>
    <x v="0"/>
    <s v="Rice"/>
    <n v="12"/>
    <n v="2738.98"/>
    <n v="20"/>
    <x v="4"/>
  </r>
  <r>
    <n v="10125"/>
    <x v="110"/>
    <s v="Kabir"/>
    <s v="Delhi"/>
    <x v="2"/>
    <s v="Marker"/>
    <n v="15"/>
    <n v="2230.9699999999998"/>
    <n v="10"/>
    <x v="4"/>
  </r>
  <r>
    <n v="10126"/>
    <x v="111"/>
    <s v="Aarav"/>
    <s v="Pune"/>
    <x v="3"/>
    <s v="Cabinet"/>
    <n v="18"/>
    <n v="1529"/>
    <n v="10"/>
    <x v="4"/>
  </r>
  <r>
    <n v="10127"/>
    <x v="112"/>
    <s v="Meera"/>
    <s v="Lucknow"/>
    <x v="0"/>
    <s v="Coffee"/>
    <n v="13"/>
    <n v="785.07"/>
    <n v="0"/>
    <x v="0"/>
  </r>
  <r>
    <n v="10128"/>
    <x v="113"/>
    <s v="Arjun"/>
    <s v="Kolkata"/>
    <x v="0"/>
    <s v="Coffee"/>
    <n v="3"/>
    <n v="1604.88"/>
    <n v="15"/>
    <x v="4"/>
  </r>
  <r>
    <n v="10129"/>
    <x v="114"/>
    <s v="Meera"/>
    <s v="Kolkata"/>
    <x v="1"/>
    <s v="Monitor"/>
    <n v="19"/>
    <n v="494.82"/>
    <n v="10"/>
    <x v="1"/>
  </r>
  <r>
    <n v="10130"/>
    <x v="33"/>
    <s v="Neha"/>
    <s v="Lucknow"/>
    <x v="0"/>
    <s v="Rice"/>
    <n v="20"/>
    <n v="3340.24"/>
    <n v="20"/>
    <x v="0"/>
  </r>
  <r>
    <n v="10131"/>
    <x v="67"/>
    <s v="Meera"/>
    <s v="Bhopal"/>
    <x v="3"/>
    <s v="Desk"/>
    <n v="2"/>
    <n v="2968.79"/>
    <n v="0"/>
    <x v="3"/>
  </r>
  <r>
    <n v="10132"/>
    <x v="115"/>
    <s v="Neha"/>
    <s v="Mumbai"/>
    <x v="1"/>
    <s v="Keyboard"/>
    <n v="15"/>
    <n v="3942.73"/>
    <n v="0"/>
    <x v="0"/>
  </r>
  <r>
    <n v="10133"/>
    <x v="116"/>
    <s v="Vihaan"/>
    <s v="Jaipur"/>
    <x v="2"/>
    <s v="Stapler"/>
    <n v="19"/>
    <n v="3237.08"/>
    <n v="0"/>
    <x v="4"/>
  </r>
  <r>
    <n v="10134"/>
    <x v="117"/>
    <s v="Diya"/>
    <s v="Mumbai"/>
    <x v="2"/>
    <s v="Notebook"/>
    <n v="19"/>
    <n v="3719.76"/>
    <n v="0"/>
    <x v="2"/>
  </r>
  <r>
    <n v="10135"/>
    <x v="8"/>
    <s v="Anaya"/>
    <s v="Lucknow"/>
    <x v="3"/>
    <s v="Desk"/>
    <n v="1"/>
    <n v="2974.1"/>
    <n v="5"/>
    <x v="2"/>
  </r>
  <r>
    <n v="10136"/>
    <x v="118"/>
    <s v="Vihaan"/>
    <s v="Kolkata"/>
    <x v="0"/>
    <s v="Tea"/>
    <n v="3"/>
    <n v="3562.56"/>
    <n v="15"/>
    <x v="2"/>
  </r>
  <r>
    <n v="10137"/>
    <x v="119"/>
    <s v="Vihaan"/>
    <s v="Patna"/>
    <x v="0"/>
    <s v="Coffee"/>
    <n v="11"/>
    <n v="3975.08"/>
    <n v="5"/>
    <x v="1"/>
  </r>
  <r>
    <n v="10138"/>
    <x v="75"/>
    <s v="Vihaan"/>
    <s v="Lucknow"/>
    <x v="3"/>
    <s v="Table"/>
    <n v="15"/>
    <n v="1660.63"/>
    <n v="0"/>
    <x v="3"/>
  </r>
  <r>
    <n v="10139"/>
    <x v="18"/>
    <s v="Ishaan"/>
    <s v="Patna"/>
    <x v="1"/>
    <s v="Monitor"/>
    <n v="2"/>
    <n v="299.83"/>
    <n v="5"/>
    <x v="4"/>
  </r>
  <r>
    <n v="10140"/>
    <x v="115"/>
    <s v="Rohan"/>
    <s v="Indore"/>
    <x v="2"/>
    <s v="Marker"/>
    <n v="18"/>
    <n v="3119.42"/>
    <n v="5"/>
    <x v="1"/>
  </r>
  <r>
    <n v="10141"/>
    <x v="120"/>
    <s v="Aarav"/>
    <s v="Lucknow"/>
    <x v="0"/>
    <s v="Sugar"/>
    <n v="1"/>
    <n v="1889.13"/>
    <n v="0"/>
    <x v="3"/>
  </r>
  <r>
    <n v="10142"/>
    <x v="121"/>
    <s v="Ishaan"/>
    <s v="Delhi"/>
    <x v="2"/>
    <s v="Marker"/>
    <n v="6"/>
    <n v="4043.27"/>
    <n v="10"/>
    <x v="0"/>
  </r>
  <r>
    <n v="10143"/>
    <x v="122"/>
    <s v="Ishaan"/>
    <s v="Pune"/>
    <x v="0"/>
    <s v="Sugar"/>
    <n v="17"/>
    <n v="1611.1"/>
    <n v="0"/>
    <x v="0"/>
  </r>
  <r>
    <n v="10144"/>
    <x v="107"/>
    <s v="Aarav"/>
    <s v="Kolkata"/>
    <x v="1"/>
    <s v="SSD"/>
    <n v="12"/>
    <n v="1434.69"/>
    <n v="15"/>
    <x v="0"/>
  </r>
  <r>
    <n v="10145"/>
    <x v="123"/>
    <s v="Meera"/>
    <s v="Bhopal"/>
    <x v="2"/>
    <s v="Stapler"/>
    <n v="17"/>
    <n v="594.73"/>
    <n v="0"/>
    <x v="1"/>
  </r>
  <r>
    <n v="10146"/>
    <x v="124"/>
    <s v="Neha"/>
    <s v="Chennai"/>
    <x v="0"/>
    <s v="Tea"/>
    <n v="10"/>
    <n v="2346.62"/>
    <n v="0"/>
    <x v="3"/>
  </r>
  <r>
    <n v="10147"/>
    <x v="125"/>
    <s v="Vihaan"/>
    <s v="Jaipur"/>
    <x v="2"/>
    <s v="Pen"/>
    <n v="19"/>
    <n v="2837.04"/>
    <n v="10"/>
    <x v="0"/>
  </r>
  <r>
    <n v="10148"/>
    <x v="71"/>
    <s v="Meera"/>
    <s v="Chennai"/>
    <x v="1"/>
    <s v="Keyboard"/>
    <n v="9"/>
    <n v="3500.27"/>
    <n v="15"/>
    <x v="2"/>
  </r>
  <r>
    <n v="10149"/>
    <x v="126"/>
    <s v="Kabir"/>
    <s v="Indore"/>
    <x v="2"/>
    <s v="Notebook"/>
    <n v="15"/>
    <n v="4721.08"/>
    <n v="10"/>
    <x v="4"/>
  </r>
  <r>
    <n v="10150"/>
    <x v="127"/>
    <s v="Rohan"/>
    <s v="Lucknow"/>
    <x v="3"/>
    <s v="Chair"/>
    <n v="17"/>
    <n v="4930.3999999999996"/>
    <n v="0"/>
    <x v="1"/>
  </r>
  <r>
    <n v="10151"/>
    <x v="128"/>
    <s v="Meera"/>
    <s v="Kolkata"/>
    <x v="2"/>
    <s v="Pen"/>
    <n v="14"/>
    <n v="3753.86"/>
    <n v="10"/>
    <x v="0"/>
  </r>
  <r>
    <n v="10152"/>
    <x v="78"/>
    <s v="Vihaan"/>
    <s v="Delhi"/>
    <x v="0"/>
    <s v="Sugar"/>
    <n v="1"/>
    <n v="1116.24"/>
    <n v="15"/>
    <x v="4"/>
  </r>
  <r>
    <n v="10153"/>
    <x v="129"/>
    <s v="Aarav"/>
    <s v="Chennai"/>
    <x v="2"/>
    <s v="Notebook"/>
    <n v="11"/>
    <n v="2584.33"/>
    <n v="0"/>
    <x v="4"/>
  </r>
  <r>
    <n v="10154"/>
    <x v="130"/>
    <s v="Kabir"/>
    <s v="Delhi"/>
    <x v="1"/>
    <s v="SSD"/>
    <n v="13"/>
    <n v="3808.65"/>
    <n v="15"/>
    <x v="4"/>
  </r>
  <r>
    <n v="10155"/>
    <x v="42"/>
    <s v="Priya"/>
    <s v="Kolkata"/>
    <x v="1"/>
    <s v="Keyboard"/>
    <n v="11"/>
    <n v="548.29"/>
    <n v="5"/>
    <x v="1"/>
  </r>
  <r>
    <n v="10156"/>
    <x v="131"/>
    <s v="Rohan"/>
    <s v="Kolkata"/>
    <x v="1"/>
    <s v="SSD"/>
    <n v="15"/>
    <n v="3132.66"/>
    <n v="0"/>
    <x v="1"/>
  </r>
  <r>
    <n v="10157"/>
    <x v="123"/>
    <s v="Diya"/>
    <s v="Bhopal"/>
    <x v="2"/>
    <s v="Stapler"/>
    <n v="8"/>
    <n v="3504.16"/>
    <n v="15"/>
    <x v="3"/>
  </r>
  <r>
    <n v="10158"/>
    <x v="132"/>
    <s v="Anaya"/>
    <s v="Delhi"/>
    <x v="1"/>
    <s v="Monitor"/>
    <n v="17"/>
    <n v="2766.45"/>
    <n v="5"/>
    <x v="0"/>
  </r>
  <r>
    <n v="10159"/>
    <x v="23"/>
    <s v="Anaya"/>
    <s v="Jaipur"/>
    <x v="2"/>
    <s v="Stapler"/>
    <n v="16"/>
    <n v="3513.68"/>
    <n v="10"/>
    <x v="0"/>
  </r>
  <r>
    <n v="10160"/>
    <x v="8"/>
    <s v="Diya"/>
    <s v="Bhopal"/>
    <x v="1"/>
    <s v="Monitor"/>
    <n v="1"/>
    <n v="2743.23"/>
    <n v="0"/>
    <x v="4"/>
  </r>
  <r>
    <n v="10161"/>
    <x v="133"/>
    <s v="Ishaan"/>
    <s v="Lucknow"/>
    <x v="1"/>
    <s v="Mouse"/>
    <n v="7"/>
    <n v="1526.59"/>
    <n v="10"/>
    <x v="0"/>
  </r>
  <r>
    <n v="10162"/>
    <x v="30"/>
    <s v="Aarav"/>
    <s v="Lucknow"/>
    <x v="1"/>
    <s v="Mouse"/>
    <n v="13"/>
    <n v="2409.2600000000002"/>
    <n v="5"/>
    <x v="3"/>
  </r>
  <r>
    <n v="10163"/>
    <x v="134"/>
    <s v="Priya"/>
    <s v="Delhi"/>
    <x v="3"/>
    <s v="Table"/>
    <n v="12"/>
    <n v="532.26"/>
    <n v="20"/>
    <x v="3"/>
  </r>
  <r>
    <n v="10164"/>
    <x v="135"/>
    <s v="Sneha"/>
    <s v="Bhopal"/>
    <x v="2"/>
    <s v="Marker"/>
    <n v="3"/>
    <n v="4959.3900000000003"/>
    <n v="5"/>
    <x v="0"/>
  </r>
  <r>
    <n v="10165"/>
    <x v="67"/>
    <s v="Sneha"/>
    <s v="Indore"/>
    <x v="1"/>
    <s v="SSD"/>
    <n v="1"/>
    <n v="612.88"/>
    <n v="20"/>
    <x v="3"/>
  </r>
  <r>
    <n v="10166"/>
    <x v="94"/>
    <s v="Sneha"/>
    <s v="Patna"/>
    <x v="1"/>
    <s v="SSD"/>
    <n v="12"/>
    <n v="2740.53"/>
    <n v="10"/>
    <x v="2"/>
  </r>
  <r>
    <n v="10167"/>
    <x v="136"/>
    <s v="Kabir"/>
    <s v="Jaipur"/>
    <x v="1"/>
    <s v="Monitor"/>
    <n v="15"/>
    <n v="2511.58"/>
    <n v="5"/>
    <x v="3"/>
  </r>
  <r>
    <n v="10168"/>
    <x v="137"/>
    <s v="Sneha"/>
    <s v="Pune"/>
    <x v="0"/>
    <s v="Tea"/>
    <n v="19"/>
    <n v="4924.0600000000004"/>
    <n v="15"/>
    <x v="1"/>
  </r>
  <r>
    <n v="10169"/>
    <x v="89"/>
    <s v="Ishaan"/>
    <s v="Bhopal"/>
    <x v="1"/>
    <s v="SSD"/>
    <n v="2"/>
    <n v="1414.24"/>
    <n v="20"/>
    <x v="3"/>
  </r>
  <r>
    <n v="10170"/>
    <x v="138"/>
    <s v="Sneha"/>
    <s v="Delhi"/>
    <x v="3"/>
    <s v="Desk"/>
    <n v="14"/>
    <n v="3779.62"/>
    <n v="5"/>
    <x v="4"/>
  </r>
  <r>
    <n v="10171"/>
    <x v="139"/>
    <s v="Neha"/>
    <s v="Bhopal"/>
    <x v="2"/>
    <s v="Stapler"/>
    <n v="1"/>
    <n v="1052.05"/>
    <n v="10"/>
    <x v="2"/>
  </r>
  <r>
    <n v="10172"/>
    <x v="140"/>
    <s v="Diya"/>
    <s v="Indore"/>
    <x v="0"/>
    <s v="Sugar"/>
    <n v="7"/>
    <n v="2995.78"/>
    <n v="20"/>
    <x v="3"/>
  </r>
  <r>
    <n v="10173"/>
    <x v="91"/>
    <s v="Vihaan"/>
    <s v="Lucknow"/>
    <x v="2"/>
    <s v="Stapler"/>
    <n v="17"/>
    <n v="669.79"/>
    <n v="15"/>
    <x v="1"/>
  </r>
  <r>
    <n v="10174"/>
    <x v="141"/>
    <s v="Sneha"/>
    <s v="Lucknow"/>
    <x v="0"/>
    <s v="Coffee"/>
    <n v="1"/>
    <n v="448.66"/>
    <n v="20"/>
    <x v="0"/>
  </r>
  <r>
    <n v="10175"/>
    <x v="112"/>
    <s v="Vihaan"/>
    <s v="Delhi"/>
    <x v="2"/>
    <s v="Stapler"/>
    <n v="11"/>
    <n v="4304.08"/>
    <n v="20"/>
    <x v="1"/>
  </r>
  <r>
    <n v="10176"/>
    <x v="16"/>
    <s v="Priya"/>
    <s v="Patna"/>
    <x v="0"/>
    <s v="Sugar"/>
    <n v="13"/>
    <n v="4451.5200000000004"/>
    <n v="0"/>
    <x v="0"/>
  </r>
  <r>
    <n v="10177"/>
    <x v="109"/>
    <s v="Vihaan"/>
    <s v="Mumbai"/>
    <x v="0"/>
    <s v="Coffee"/>
    <n v="16"/>
    <n v="4012.13"/>
    <n v="20"/>
    <x v="0"/>
  </r>
  <r>
    <n v="10178"/>
    <x v="142"/>
    <s v="Diya"/>
    <s v="Jaipur"/>
    <x v="2"/>
    <s v="Marker"/>
    <n v="14"/>
    <n v="3031.07"/>
    <n v="20"/>
    <x v="0"/>
  </r>
  <r>
    <n v="10179"/>
    <x v="139"/>
    <s v="Priya"/>
    <s v="Kolkata"/>
    <x v="1"/>
    <s v="Keyboard"/>
    <n v="5"/>
    <n v="3646.09"/>
    <n v="10"/>
    <x v="1"/>
  </r>
  <r>
    <n v="10180"/>
    <x v="21"/>
    <s v="Anaya"/>
    <s v="Kolkata"/>
    <x v="2"/>
    <s v="Pen"/>
    <n v="15"/>
    <n v="2939.8"/>
    <n v="10"/>
    <x v="1"/>
  </r>
  <r>
    <n v="10181"/>
    <x v="71"/>
    <s v="Meera"/>
    <s v="Kolkata"/>
    <x v="0"/>
    <s v="Tea"/>
    <n v="7"/>
    <n v="3232.3"/>
    <n v="20"/>
    <x v="1"/>
  </r>
  <r>
    <n v="10182"/>
    <x v="143"/>
    <s v="Kabir"/>
    <s v="Lucknow"/>
    <x v="0"/>
    <s v="Coffee"/>
    <n v="8"/>
    <n v="4640.58"/>
    <n v="0"/>
    <x v="4"/>
  </r>
  <r>
    <n v="10183"/>
    <x v="144"/>
    <s v="Rohan"/>
    <s v="Bhopal"/>
    <x v="1"/>
    <s v="Keyboard"/>
    <n v="17"/>
    <n v="3377.86"/>
    <n v="0"/>
    <x v="1"/>
  </r>
  <r>
    <n v="10184"/>
    <x v="19"/>
    <s v="Arjun"/>
    <s v="Jaipur"/>
    <x v="0"/>
    <s v="Sugar"/>
    <n v="6"/>
    <n v="2944.03"/>
    <n v="0"/>
    <x v="0"/>
  </r>
  <r>
    <n v="10185"/>
    <x v="35"/>
    <s v="Priya"/>
    <s v="Mumbai"/>
    <x v="1"/>
    <s v="SSD"/>
    <n v="9"/>
    <n v="4822.47"/>
    <n v="20"/>
    <x v="0"/>
  </r>
  <r>
    <n v="10186"/>
    <x v="145"/>
    <s v="Anaya"/>
    <s v="Mumbai"/>
    <x v="2"/>
    <s v="Marker"/>
    <n v="6"/>
    <n v="3038.31"/>
    <n v="0"/>
    <x v="2"/>
  </r>
  <r>
    <n v="10187"/>
    <x v="146"/>
    <s v="Diya"/>
    <s v="Delhi"/>
    <x v="0"/>
    <s v="Coffee"/>
    <n v="15"/>
    <n v="3227.31"/>
    <n v="20"/>
    <x v="2"/>
  </r>
  <r>
    <n v="10188"/>
    <x v="147"/>
    <s v="Diya"/>
    <s v="Indore"/>
    <x v="0"/>
    <s v="Tea"/>
    <n v="20"/>
    <n v="2721.54"/>
    <n v="15"/>
    <x v="1"/>
  </r>
  <r>
    <n v="10189"/>
    <x v="148"/>
    <s v="Arjun"/>
    <s v="Chennai"/>
    <x v="1"/>
    <s v="SSD"/>
    <n v="11"/>
    <n v="4315.3"/>
    <n v="20"/>
    <x v="2"/>
  </r>
  <r>
    <n v="10190"/>
    <x v="140"/>
    <s v="Neha"/>
    <s v="Indore"/>
    <x v="2"/>
    <s v="Notebook"/>
    <n v="20"/>
    <n v="4108.34"/>
    <n v="15"/>
    <x v="2"/>
  </r>
  <r>
    <n v="10191"/>
    <x v="64"/>
    <s v="Neha"/>
    <s v="Jaipur"/>
    <x v="1"/>
    <s v="Monitor"/>
    <n v="19"/>
    <n v="4020.63"/>
    <n v="0"/>
    <x v="4"/>
  </r>
  <r>
    <n v="10192"/>
    <x v="149"/>
    <s v="Meera"/>
    <s v="Delhi"/>
    <x v="2"/>
    <s v="Notebook"/>
    <n v="8"/>
    <n v="1840.38"/>
    <n v="20"/>
    <x v="4"/>
  </r>
  <r>
    <n v="10193"/>
    <x v="122"/>
    <s v="Meera"/>
    <s v="Delhi"/>
    <x v="1"/>
    <s v="SSD"/>
    <n v="12"/>
    <n v="3663.89"/>
    <n v="10"/>
    <x v="0"/>
  </r>
  <r>
    <n v="10194"/>
    <x v="150"/>
    <s v="Diya"/>
    <s v="Jaipur"/>
    <x v="0"/>
    <s v="Rice"/>
    <n v="2"/>
    <n v="1343.81"/>
    <n v="5"/>
    <x v="1"/>
  </r>
  <r>
    <n v="10195"/>
    <x v="151"/>
    <s v="Arjun"/>
    <s v="Patna"/>
    <x v="0"/>
    <s v="Rice"/>
    <n v="6"/>
    <n v="2486.3000000000002"/>
    <n v="0"/>
    <x v="3"/>
  </r>
  <r>
    <n v="10196"/>
    <x v="152"/>
    <s v="Aarav"/>
    <s v="Kolkata"/>
    <x v="3"/>
    <s v="Desk"/>
    <n v="4"/>
    <n v="1574.59"/>
    <n v="20"/>
    <x v="0"/>
  </r>
  <r>
    <n v="10197"/>
    <x v="153"/>
    <s v="Priya"/>
    <s v="Delhi"/>
    <x v="0"/>
    <s v="Sugar"/>
    <n v="18"/>
    <n v="1603.43"/>
    <n v="10"/>
    <x v="3"/>
  </r>
  <r>
    <n v="10198"/>
    <x v="99"/>
    <s v="Diya"/>
    <s v="Chennai"/>
    <x v="0"/>
    <s v="Coffee"/>
    <n v="3"/>
    <n v="3423.97"/>
    <n v="10"/>
    <x v="3"/>
  </r>
  <r>
    <n v="10199"/>
    <x v="55"/>
    <s v="Sneha"/>
    <s v="Pune"/>
    <x v="2"/>
    <s v="Marker"/>
    <n v="9"/>
    <n v="3661.16"/>
    <n v="10"/>
    <x v="1"/>
  </r>
  <r>
    <n v="10200"/>
    <x v="154"/>
    <s v="Rohan"/>
    <s v="Patna"/>
    <x v="1"/>
    <s v="SSD"/>
    <n v="7"/>
    <n v="1644.08"/>
    <n v="20"/>
    <x v="3"/>
  </r>
  <r>
    <n v="10201"/>
    <x v="112"/>
    <s v="Diya"/>
    <s v="Pune"/>
    <x v="1"/>
    <s v="Mouse"/>
    <n v="7"/>
    <n v="3464.14"/>
    <n v="0"/>
    <x v="2"/>
  </r>
  <r>
    <n v="10202"/>
    <x v="155"/>
    <s v="Rohan"/>
    <s v="Pune"/>
    <x v="0"/>
    <s v="Rice"/>
    <n v="7"/>
    <n v="4267.29"/>
    <n v="5"/>
    <x v="4"/>
  </r>
  <r>
    <n v="10203"/>
    <x v="156"/>
    <s v="Priya"/>
    <s v="Jaipur"/>
    <x v="2"/>
    <s v="Marker"/>
    <n v="11"/>
    <n v="1997.3"/>
    <n v="5"/>
    <x v="4"/>
  </r>
  <r>
    <n v="10204"/>
    <x v="157"/>
    <s v="Rohan"/>
    <s v="Mumbai"/>
    <x v="0"/>
    <s v="Coffee"/>
    <n v="9"/>
    <n v="4890"/>
    <n v="15"/>
    <x v="2"/>
  </r>
  <r>
    <n v="10205"/>
    <x v="158"/>
    <s v="Rohan"/>
    <s v="Lucknow"/>
    <x v="0"/>
    <s v="Tea"/>
    <n v="9"/>
    <n v="1768.29"/>
    <n v="0"/>
    <x v="2"/>
  </r>
  <r>
    <n v="10206"/>
    <x v="159"/>
    <s v="Meera"/>
    <s v="Mumbai"/>
    <x v="0"/>
    <s v="Sugar"/>
    <n v="1"/>
    <n v="1446.8"/>
    <n v="5"/>
    <x v="0"/>
  </r>
  <r>
    <n v="10207"/>
    <x v="160"/>
    <s v="Vihaan"/>
    <s v="Pune"/>
    <x v="2"/>
    <s v="Notebook"/>
    <n v="18"/>
    <n v="4843.68"/>
    <n v="10"/>
    <x v="0"/>
  </r>
  <r>
    <n v="10208"/>
    <x v="148"/>
    <s v="Priya"/>
    <s v="Patna"/>
    <x v="2"/>
    <s v="Stapler"/>
    <n v="9"/>
    <n v="473.78"/>
    <n v="5"/>
    <x v="2"/>
  </r>
  <r>
    <n v="10209"/>
    <x v="103"/>
    <s v="Diya"/>
    <s v="Pune"/>
    <x v="0"/>
    <s v="Tea"/>
    <n v="3"/>
    <n v="3149.38"/>
    <n v="5"/>
    <x v="4"/>
  </r>
  <r>
    <n v="10210"/>
    <x v="161"/>
    <s v="Neha"/>
    <s v="Chennai"/>
    <x v="2"/>
    <s v="Notebook"/>
    <n v="9"/>
    <n v="4172.09"/>
    <n v="15"/>
    <x v="4"/>
  </r>
  <r>
    <n v="10211"/>
    <x v="162"/>
    <s v="Meera"/>
    <s v="Pune"/>
    <x v="3"/>
    <s v="Desk"/>
    <n v="4"/>
    <n v="2057.34"/>
    <n v="0"/>
    <x v="4"/>
  </r>
  <r>
    <n v="10212"/>
    <x v="163"/>
    <s v="Priya"/>
    <s v="Indore"/>
    <x v="0"/>
    <s v="Rice"/>
    <n v="14"/>
    <n v="1413.47"/>
    <n v="15"/>
    <x v="4"/>
  </r>
  <r>
    <n v="10213"/>
    <x v="149"/>
    <s v="Ishaan"/>
    <s v="Mumbai"/>
    <x v="3"/>
    <s v="Chair"/>
    <n v="8"/>
    <n v="4898.42"/>
    <n v="5"/>
    <x v="4"/>
  </r>
  <r>
    <n v="10214"/>
    <x v="21"/>
    <s v="Vihaan"/>
    <s v="Pune"/>
    <x v="1"/>
    <s v="SSD"/>
    <n v="9"/>
    <n v="2913.68"/>
    <n v="15"/>
    <x v="2"/>
  </r>
  <r>
    <n v="10215"/>
    <x v="164"/>
    <s v="Neha"/>
    <s v="Mumbai"/>
    <x v="0"/>
    <s v="Coffee"/>
    <n v="19"/>
    <n v="1572.25"/>
    <n v="20"/>
    <x v="3"/>
  </r>
  <r>
    <n v="10216"/>
    <x v="43"/>
    <s v="Kabir"/>
    <s v="Delhi"/>
    <x v="1"/>
    <s v="Keyboard"/>
    <n v="4"/>
    <n v="2518.33"/>
    <n v="0"/>
    <x v="3"/>
  </r>
  <r>
    <n v="10217"/>
    <x v="165"/>
    <s v="Vihaan"/>
    <s v="Chennai"/>
    <x v="0"/>
    <s v="Coffee"/>
    <n v="1"/>
    <n v="2864.78"/>
    <n v="5"/>
    <x v="2"/>
  </r>
  <r>
    <n v="10218"/>
    <x v="11"/>
    <s v="Kabir"/>
    <s v="Jaipur"/>
    <x v="3"/>
    <s v="Table"/>
    <n v="6"/>
    <n v="940.44"/>
    <n v="10"/>
    <x v="1"/>
  </r>
  <r>
    <n v="10219"/>
    <x v="166"/>
    <s v="Diya"/>
    <s v="Kolkata"/>
    <x v="0"/>
    <s v="Tea"/>
    <n v="8"/>
    <n v="4740.3999999999996"/>
    <n v="0"/>
    <x v="0"/>
  </r>
  <r>
    <n v="10220"/>
    <x v="167"/>
    <s v="Arjun"/>
    <s v="Delhi"/>
    <x v="0"/>
    <s v="Rice"/>
    <n v="13"/>
    <n v="2817.78"/>
    <n v="0"/>
    <x v="0"/>
  </r>
  <r>
    <n v="10221"/>
    <x v="161"/>
    <s v="Priya"/>
    <s v="Kolkata"/>
    <x v="2"/>
    <s v="Marker"/>
    <n v="9"/>
    <n v="2504.62"/>
    <n v="0"/>
    <x v="1"/>
  </r>
  <r>
    <n v="10222"/>
    <x v="98"/>
    <s v="Neha"/>
    <s v="Pune"/>
    <x v="0"/>
    <s v="Coffee"/>
    <n v="11"/>
    <n v="2952.83"/>
    <n v="10"/>
    <x v="0"/>
  </r>
  <r>
    <n v="10223"/>
    <x v="168"/>
    <s v="Vihaan"/>
    <s v="Chennai"/>
    <x v="1"/>
    <s v="Mouse"/>
    <n v="1"/>
    <n v="169.6"/>
    <n v="20"/>
    <x v="0"/>
  </r>
  <r>
    <n v="10224"/>
    <x v="169"/>
    <s v="Anaya"/>
    <s v="Kolkata"/>
    <x v="0"/>
    <s v="Sugar"/>
    <n v="6"/>
    <n v="2241.7399999999998"/>
    <n v="5"/>
    <x v="1"/>
  </r>
  <r>
    <n v="10225"/>
    <x v="170"/>
    <s v="Meera"/>
    <s v="Chennai"/>
    <x v="0"/>
    <s v="Tea"/>
    <n v="19"/>
    <n v="463.23"/>
    <n v="10"/>
    <x v="1"/>
  </r>
  <r>
    <n v="10226"/>
    <x v="41"/>
    <s v="Kabir"/>
    <s v="Bhopal"/>
    <x v="3"/>
    <s v="Chair"/>
    <n v="15"/>
    <n v="2949.75"/>
    <n v="0"/>
    <x v="4"/>
  </r>
  <r>
    <n v="10227"/>
    <x v="171"/>
    <s v="Priya"/>
    <s v="Patna"/>
    <x v="0"/>
    <s v="Coffee"/>
    <n v="16"/>
    <n v="3143.66"/>
    <n v="10"/>
    <x v="4"/>
  </r>
  <r>
    <n v="10228"/>
    <x v="51"/>
    <s v="Kabir"/>
    <s v="Bhopal"/>
    <x v="0"/>
    <s v="Tea"/>
    <n v="14"/>
    <n v="442.31"/>
    <n v="0"/>
    <x v="1"/>
  </r>
  <r>
    <n v="10229"/>
    <x v="172"/>
    <s v="Arjun"/>
    <s v="Chennai"/>
    <x v="1"/>
    <s v="SSD"/>
    <n v="19"/>
    <n v="717.53"/>
    <n v="5"/>
    <x v="4"/>
  </r>
  <r>
    <n v="10230"/>
    <x v="173"/>
    <s v="Neha"/>
    <s v="Kolkata"/>
    <x v="3"/>
    <s v="Chair"/>
    <n v="7"/>
    <n v="4909.1099999999997"/>
    <n v="5"/>
    <x v="3"/>
  </r>
  <r>
    <n v="10231"/>
    <x v="26"/>
    <s v="Ishaan"/>
    <s v="Jaipur"/>
    <x v="1"/>
    <s v="Mouse"/>
    <n v="5"/>
    <n v="4428.71"/>
    <n v="5"/>
    <x v="2"/>
  </r>
  <r>
    <n v="10232"/>
    <x v="107"/>
    <s v="Rohan"/>
    <s v="Lucknow"/>
    <x v="1"/>
    <s v="SSD"/>
    <n v="5"/>
    <n v="2775.69"/>
    <n v="20"/>
    <x v="2"/>
  </r>
  <r>
    <n v="10233"/>
    <x v="174"/>
    <s v="Priya"/>
    <s v="Chennai"/>
    <x v="0"/>
    <s v="Tea"/>
    <n v="10"/>
    <n v="1760.21"/>
    <n v="5"/>
    <x v="0"/>
  </r>
  <r>
    <n v="10234"/>
    <x v="175"/>
    <s v="Aarav"/>
    <s v="Mumbai"/>
    <x v="2"/>
    <s v="Stapler"/>
    <n v="9"/>
    <n v="425.66"/>
    <n v="5"/>
    <x v="4"/>
  </r>
  <r>
    <n v="10235"/>
    <x v="176"/>
    <s v="Neha"/>
    <s v="Kolkata"/>
    <x v="1"/>
    <s v="Mouse"/>
    <n v="13"/>
    <n v="2766.59"/>
    <n v="20"/>
    <x v="1"/>
  </r>
  <r>
    <n v="10236"/>
    <x v="145"/>
    <s v="Aarav"/>
    <s v="Chennai"/>
    <x v="1"/>
    <s v="SSD"/>
    <n v="14"/>
    <n v="2443.9899999999998"/>
    <n v="20"/>
    <x v="0"/>
  </r>
  <r>
    <n v="10237"/>
    <x v="177"/>
    <s v="Ishaan"/>
    <s v="Chennai"/>
    <x v="3"/>
    <s v="Chair"/>
    <n v="17"/>
    <n v="3483.09"/>
    <n v="15"/>
    <x v="4"/>
  </r>
  <r>
    <n v="10238"/>
    <x v="178"/>
    <s v="Ishaan"/>
    <s v="Patna"/>
    <x v="2"/>
    <s v="Marker"/>
    <n v="16"/>
    <n v="4026.73"/>
    <n v="15"/>
    <x v="4"/>
  </r>
  <r>
    <n v="10239"/>
    <x v="179"/>
    <s v="Vihaan"/>
    <s v="Patna"/>
    <x v="3"/>
    <s v="Desk"/>
    <n v="15"/>
    <n v="2880.19"/>
    <n v="5"/>
    <x v="0"/>
  </r>
  <r>
    <n v="10240"/>
    <x v="180"/>
    <s v="Arjun"/>
    <s v="Jaipur"/>
    <x v="1"/>
    <s v="Monitor"/>
    <n v="19"/>
    <n v="3338.52"/>
    <n v="10"/>
    <x v="1"/>
  </r>
  <r>
    <n v="10241"/>
    <x v="75"/>
    <s v="Ishaan"/>
    <s v="Mumbai"/>
    <x v="3"/>
    <s v="Desk"/>
    <n v="3"/>
    <n v="1268.51"/>
    <n v="15"/>
    <x v="0"/>
  </r>
  <r>
    <n v="10242"/>
    <x v="181"/>
    <s v="Rohan"/>
    <s v="Indore"/>
    <x v="2"/>
    <s v="Pen"/>
    <n v="19"/>
    <n v="3130.97"/>
    <n v="5"/>
    <x v="1"/>
  </r>
  <r>
    <n v="10243"/>
    <x v="182"/>
    <s v="Ishaan"/>
    <s v="Lucknow"/>
    <x v="2"/>
    <s v="Notebook"/>
    <n v="3"/>
    <n v="1172.81"/>
    <n v="5"/>
    <x v="1"/>
  </r>
  <r>
    <n v="10244"/>
    <x v="178"/>
    <s v="Rohan"/>
    <s v="Pune"/>
    <x v="1"/>
    <s v="Mouse"/>
    <n v="8"/>
    <n v="720.11"/>
    <n v="20"/>
    <x v="1"/>
  </r>
  <r>
    <n v="10245"/>
    <x v="183"/>
    <s v="Ishaan"/>
    <s v="Kolkata"/>
    <x v="2"/>
    <s v="Marker"/>
    <n v="11"/>
    <n v="4247.26"/>
    <n v="15"/>
    <x v="3"/>
  </r>
  <r>
    <n v="10246"/>
    <x v="41"/>
    <s v="Neha"/>
    <s v="Jaipur"/>
    <x v="3"/>
    <s v="Chair"/>
    <n v="10"/>
    <n v="2274.19"/>
    <n v="5"/>
    <x v="0"/>
  </r>
  <r>
    <n v="10247"/>
    <x v="184"/>
    <s v="Rohan"/>
    <s v="Patna"/>
    <x v="2"/>
    <s v="Marker"/>
    <n v="2"/>
    <n v="1313.3"/>
    <n v="5"/>
    <x v="3"/>
  </r>
  <r>
    <n v="10248"/>
    <x v="185"/>
    <s v="Meera"/>
    <s v="Mumbai"/>
    <x v="2"/>
    <s v="Pen"/>
    <n v="3"/>
    <n v="2318.02"/>
    <n v="20"/>
    <x v="2"/>
  </r>
  <r>
    <n v="10249"/>
    <x v="111"/>
    <s v="Priya"/>
    <s v="Pune"/>
    <x v="2"/>
    <s v="Pen"/>
    <n v="19"/>
    <n v="395.19"/>
    <n v="0"/>
    <x v="2"/>
  </r>
  <r>
    <n v="10250"/>
    <x v="186"/>
    <s v="Arjun"/>
    <s v="Jaipur"/>
    <x v="2"/>
    <s v="Stapler"/>
    <n v="5"/>
    <n v="799.63"/>
    <n v="0"/>
    <x v="4"/>
  </r>
  <r>
    <n v="10251"/>
    <x v="124"/>
    <s v="Priya"/>
    <s v="Indore"/>
    <x v="3"/>
    <s v="Cabinet"/>
    <n v="12"/>
    <n v="2807.78"/>
    <n v="20"/>
    <x v="1"/>
  </r>
  <r>
    <n v="10252"/>
    <x v="59"/>
    <s v="Vihaan"/>
    <s v="Chennai"/>
    <x v="3"/>
    <s v="Desk"/>
    <n v="8"/>
    <n v="276.88"/>
    <n v="10"/>
    <x v="4"/>
  </r>
  <r>
    <n v="10253"/>
    <x v="145"/>
    <s v="Kabir"/>
    <s v="Bhopal"/>
    <x v="0"/>
    <s v="Sugar"/>
    <n v="3"/>
    <n v="2849.85"/>
    <n v="5"/>
    <x v="4"/>
  </r>
  <r>
    <n v="10254"/>
    <x v="187"/>
    <s v="Rohan"/>
    <s v="Jaipur"/>
    <x v="3"/>
    <s v="Cabinet"/>
    <n v="3"/>
    <n v="3441.81"/>
    <n v="10"/>
    <x v="4"/>
  </r>
  <r>
    <n v="10255"/>
    <x v="155"/>
    <s v="Diya"/>
    <s v="Bhopal"/>
    <x v="1"/>
    <s v="SSD"/>
    <n v="7"/>
    <n v="3851.29"/>
    <n v="10"/>
    <x v="2"/>
  </r>
  <r>
    <n v="10256"/>
    <x v="101"/>
    <s v="Neha"/>
    <s v="Patna"/>
    <x v="1"/>
    <s v="Keyboard"/>
    <n v="18"/>
    <n v="4842.1099999999997"/>
    <n v="5"/>
    <x v="4"/>
  </r>
  <r>
    <n v="10257"/>
    <x v="188"/>
    <s v="Meera"/>
    <s v="Pune"/>
    <x v="3"/>
    <s v="Chair"/>
    <n v="17"/>
    <n v="3101.55"/>
    <n v="20"/>
    <x v="0"/>
  </r>
  <r>
    <n v="10258"/>
    <x v="189"/>
    <s v="Arjun"/>
    <s v="Pune"/>
    <x v="2"/>
    <s v="Marker"/>
    <n v="8"/>
    <n v="1133.76"/>
    <n v="5"/>
    <x v="0"/>
  </r>
  <r>
    <n v="10259"/>
    <x v="136"/>
    <s v="Kabir"/>
    <s v="Bhopal"/>
    <x v="0"/>
    <s v="Coffee"/>
    <n v="8"/>
    <n v="3137.58"/>
    <n v="10"/>
    <x v="3"/>
  </r>
  <r>
    <n v="10260"/>
    <x v="190"/>
    <s v="Sneha"/>
    <s v="Bhopal"/>
    <x v="1"/>
    <s v="Monitor"/>
    <n v="3"/>
    <n v="107.91"/>
    <n v="20"/>
    <x v="4"/>
  </r>
  <r>
    <n v="10261"/>
    <x v="191"/>
    <s v="Rohan"/>
    <s v="Patna"/>
    <x v="0"/>
    <s v="Coffee"/>
    <n v="12"/>
    <n v="4747.97"/>
    <n v="10"/>
    <x v="0"/>
  </r>
  <r>
    <n v="10262"/>
    <x v="135"/>
    <s v="Arjun"/>
    <s v="Chennai"/>
    <x v="0"/>
    <s v="Tea"/>
    <n v="19"/>
    <n v="3675.94"/>
    <n v="20"/>
    <x v="2"/>
  </r>
  <r>
    <n v="10263"/>
    <x v="191"/>
    <s v="Meera"/>
    <s v="Pune"/>
    <x v="3"/>
    <s v="Table"/>
    <n v="16"/>
    <n v="4025.04"/>
    <n v="20"/>
    <x v="3"/>
  </r>
  <r>
    <n v="10264"/>
    <x v="192"/>
    <s v="Vihaan"/>
    <s v="Indore"/>
    <x v="3"/>
    <s v="Table"/>
    <n v="4"/>
    <n v="3864.02"/>
    <n v="15"/>
    <x v="3"/>
  </r>
  <r>
    <n v="10265"/>
    <x v="193"/>
    <s v="Rohan"/>
    <s v="Kolkata"/>
    <x v="2"/>
    <s v="Notebook"/>
    <n v="5"/>
    <n v="1333.54"/>
    <n v="15"/>
    <x v="1"/>
  </r>
  <r>
    <n v="10266"/>
    <x v="34"/>
    <s v="Priya"/>
    <s v="Lucknow"/>
    <x v="2"/>
    <s v="Notebook"/>
    <n v="1"/>
    <n v="4165.95"/>
    <n v="0"/>
    <x v="4"/>
  </r>
  <r>
    <n v="10267"/>
    <x v="194"/>
    <s v="Aarav"/>
    <s v="Mumbai"/>
    <x v="0"/>
    <s v="Tea"/>
    <n v="5"/>
    <n v="1234.1199999999999"/>
    <n v="5"/>
    <x v="4"/>
  </r>
  <r>
    <n v="10268"/>
    <x v="155"/>
    <s v="Kabir"/>
    <s v="Delhi"/>
    <x v="1"/>
    <s v="Monitor"/>
    <n v="6"/>
    <n v="346.51"/>
    <n v="0"/>
    <x v="1"/>
  </r>
  <r>
    <n v="10269"/>
    <x v="19"/>
    <s v="Arjun"/>
    <s v="Jaipur"/>
    <x v="1"/>
    <s v="SSD"/>
    <n v="9"/>
    <n v="2782.46"/>
    <n v="10"/>
    <x v="4"/>
  </r>
  <r>
    <n v="10270"/>
    <x v="112"/>
    <s v="Diya"/>
    <s v="Chennai"/>
    <x v="3"/>
    <s v="Table"/>
    <n v="14"/>
    <n v="4989.3999999999996"/>
    <n v="0"/>
    <x v="2"/>
  </r>
  <r>
    <n v="10271"/>
    <x v="195"/>
    <s v="Priya"/>
    <s v="Bhopal"/>
    <x v="0"/>
    <s v="Tea"/>
    <n v="18"/>
    <n v="4950.07"/>
    <n v="0"/>
    <x v="0"/>
  </r>
  <r>
    <n v="10272"/>
    <x v="196"/>
    <s v="Kabir"/>
    <s v="Patna"/>
    <x v="0"/>
    <s v="Sugar"/>
    <n v="1"/>
    <n v="131.38"/>
    <n v="0"/>
    <x v="3"/>
  </r>
  <r>
    <n v="10273"/>
    <x v="197"/>
    <s v="Sneha"/>
    <s v="Patna"/>
    <x v="3"/>
    <s v="Desk"/>
    <n v="9"/>
    <n v="363.55"/>
    <n v="0"/>
    <x v="0"/>
  </r>
  <r>
    <n v="10274"/>
    <x v="3"/>
    <s v="Diya"/>
    <s v="Lucknow"/>
    <x v="0"/>
    <s v="Coffee"/>
    <n v="16"/>
    <n v="2041.8"/>
    <n v="5"/>
    <x v="3"/>
  </r>
  <r>
    <n v="10275"/>
    <x v="159"/>
    <s v="Diya"/>
    <s v="Mumbai"/>
    <x v="0"/>
    <s v="Sugar"/>
    <n v="7"/>
    <n v="3258.04"/>
    <n v="5"/>
    <x v="0"/>
  </r>
  <r>
    <n v="10276"/>
    <x v="10"/>
    <s v="Vihaan"/>
    <s v="Indore"/>
    <x v="2"/>
    <s v="Stapler"/>
    <n v="2"/>
    <n v="2640.73"/>
    <n v="15"/>
    <x v="0"/>
  </r>
  <r>
    <n v="10277"/>
    <x v="80"/>
    <s v="Priya"/>
    <s v="Kolkata"/>
    <x v="1"/>
    <s v="Mouse"/>
    <n v="19"/>
    <n v="4017.26"/>
    <n v="0"/>
    <x v="1"/>
  </r>
  <r>
    <n v="10278"/>
    <x v="198"/>
    <s v="Ishaan"/>
    <s v="Bhopal"/>
    <x v="2"/>
    <s v="Pen"/>
    <n v="18"/>
    <n v="4002.33"/>
    <n v="5"/>
    <x v="2"/>
  </r>
  <r>
    <n v="10279"/>
    <x v="81"/>
    <s v="Arjun"/>
    <s v="Kolkata"/>
    <x v="0"/>
    <s v="Rice"/>
    <n v="19"/>
    <n v="173.76"/>
    <n v="20"/>
    <x v="0"/>
  </r>
  <r>
    <n v="10280"/>
    <x v="199"/>
    <s v="Neha"/>
    <s v="Kolkata"/>
    <x v="3"/>
    <s v="Chair"/>
    <n v="14"/>
    <n v="4051.72"/>
    <n v="15"/>
    <x v="4"/>
  </r>
  <r>
    <n v="10281"/>
    <x v="116"/>
    <s v="Arjun"/>
    <s v="Lucknow"/>
    <x v="1"/>
    <s v="SSD"/>
    <n v="19"/>
    <n v="3587.63"/>
    <n v="10"/>
    <x v="4"/>
  </r>
  <r>
    <n v="10282"/>
    <x v="200"/>
    <s v="Kabir"/>
    <s v="Indore"/>
    <x v="3"/>
    <s v="Desk"/>
    <n v="8"/>
    <n v="1225.97"/>
    <n v="15"/>
    <x v="1"/>
  </r>
  <r>
    <n v="10283"/>
    <x v="201"/>
    <s v="Meera"/>
    <s v="Chennai"/>
    <x v="0"/>
    <s v="Sugar"/>
    <n v="2"/>
    <n v="3274.51"/>
    <n v="15"/>
    <x v="2"/>
  </r>
  <r>
    <n v="10284"/>
    <x v="202"/>
    <s v="Anaya"/>
    <s v="Delhi"/>
    <x v="2"/>
    <s v="Pen"/>
    <n v="13"/>
    <n v="2658.4"/>
    <n v="20"/>
    <x v="1"/>
  </r>
  <r>
    <n v="10285"/>
    <x v="34"/>
    <s v="Diya"/>
    <s v="Kolkata"/>
    <x v="1"/>
    <s v="SSD"/>
    <n v="2"/>
    <n v="3021.89"/>
    <n v="0"/>
    <x v="1"/>
  </r>
  <r>
    <n v="10286"/>
    <x v="203"/>
    <s v="Diya"/>
    <s v="Delhi"/>
    <x v="0"/>
    <s v="Rice"/>
    <n v="3"/>
    <n v="2865.17"/>
    <n v="20"/>
    <x v="2"/>
  </r>
  <r>
    <n v="10287"/>
    <x v="201"/>
    <s v="Vihaan"/>
    <s v="Bhopal"/>
    <x v="3"/>
    <s v="Cabinet"/>
    <n v="2"/>
    <n v="4650.6899999999996"/>
    <n v="10"/>
    <x v="2"/>
  </r>
  <r>
    <n v="10288"/>
    <x v="101"/>
    <s v="Diya"/>
    <s v="Jaipur"/>
    <x v="1"/>
    <s v="Keyboard"/>
    <n v="5"/>
    <n v="3658.09"/>
    <n v="10"/>
    <x v="0"/>
  </r>
  <r>
    <n v="10289"/>
    <x v="160"/>
    <s v="Kabir"/>
    <s v="Kolkata"/>
    <x v="0"/>
    <s v="Coffee"/>
    <n v="12"/>
    <n v="4110.67"/>
    <n v="10"/>
    <x v="4"/>
  </r>
  <r>
    <n v="10290"/>
    <x v="101"/>
    <s v="Rohan"/>
    <s v="Bhopal"/>
    <x v="1"/>
    <s v="Mouse"/>
    <n v="7"/>
    <n v="4856.88"/>
    <n v="5"/>
    <x v="4"/>
  </r>
  <r>
    <n v="10291"/>
    <x v="204"/>
    <s v="Arjun"/>
    <s v="Patna"/>
    <x v="2"/>
    <s v="Notebook"/>
    <n v="4"/>
    <n v="686.9"/>
    <n v="20"/>
    <x v="0"/>
  </r>
  <r>
    <n v="10292"/>
    <x v="73"/>
    <s v="Ishaan"/>
    <s v="Delhi"/>
    <x v="1"/>
    <s v="Mouse"/>
    <n v="14"/>
    <n v="4939.4799999999996"/>
    <n v="0"/>
    <x v="2"/>
  </r>
  <r>
    <n v="10293"/>
    <x v="205"/>
    <s v="Anaya"/>
    <s v="Lucknow"/>
    <x v="3"/>
    <s v="Desk"/>
    <n v="5"/>
    <n v="112.97"/>
    <n v="20"/>
    <x v="3"/>
  </r>
  <r>
    <n v="10294"/>
    <x v="206"/>
    <s v="Sneha"/>
    <s v="Mumbai"/>
    <x v="1"/>
    <s v="Mouse"/>
    <n v="12"/>
    <n v="1110.03"/>
    <n v="20"/>
    <x v="1"/>
  </r>
  <r>
    <n v="10295"/>
    <x v="207"/>
    <s v="Arjun"/>
    <s v="Jaipur"/>
    <x v="1"/>
    <s v="SSD"/>
    <n v="16"/>
    <n v="3901.53"/>
    <n v="0"/>
    <x v="0"/>
  </r>
  <r>
    <n v="10296"/>
    <x v="208"/>
    <s v="Meera"/>
    <s v="Bhopal"/>
    <x v="3"/>
    <s v="Table"/>
    <n v="20"/>
    <n v="3728.86"/>
    <n v="0"/>
    <x v="0"/>
  </r>
  <r>
    <n v="10297"/>
    <x v="209"/>
    <s v="Anaya"/>
    <s v="Mumbai"/>
    <x v="1"/>
    <s v="SSD"/>
    <n v="10"/>
    <n v="4515.28"/>
    <n v="10"/>
    <x v="2"/>
  </r>
  <r>
    <n v="10298"/>
    <x v="210"/>
    <s v="Arjun"/>
    <s v="Indore"/>
    <x v="2"/>
    <s v="Notebook"/>
    <n v="19"/>
    <n v="266.16000000000003"/>
    <n v="10"/>
    <x v="2"/>
  </r>
  <r>
    <n v="10299"/>
    <x v="211"/>
    <s v="Priya"/>
    <s v="Kolkata"/>
    <x v="2"/>
    <s v="Stapler"/>
    <n v="16"/>
    <n v="3438.75"/>
    <n v="5"/>
    <x v="3"/>
  </r>
  <r>
    <n v="10300"/>
    <x v="212"/>
    <s v="Aarav"/>
    <s v="Mumbai"/>
    <x v="2"/>
    <s v="Notebook"/>
    <n v="15"/>
    <n v="1659.77"/>
    <n v="5"/>
    <x v="2"/>
  </r>
  <r>
    <n v="10301"/>
    <x v="213"/>
    <s v="Ishaan"/>
    <s v="Bhopal"/>
    <x v="2"/>
    <s v="Marker"/>
    <n v="7"/>
    <n v="906.46"/>
    <n v="0"/>
    <x v="4"/>
  </r>
  <r>
    <n v="10302"/>
    <x v="209"/>
    <s v="Priya"/>
    <s v="Kolkata"/>
    <x v="2"/>
    <s v="Pen"/>
    <n v="6"/>
    <n v="418.4"/>
    <n v="10"/>
    <x v="1"/>
  </r>
  <r>
    <n v="10303"/>
    <x v="3"/>
    <s v="Priya"/>
    <s v="Pune"/>
    <x v="2"/>
    <s v="Stapler"/>
    <n v="9"/>
    <n v="1514.37"/>
    <n v="5"/>
    <x v="1"/>
  </r>
  <r>
    <n v="10304"/>
    <x v="187"/>
    <s v="Aarav"/>
    <s v="Indore"/>
    <x v="2"/>
    <s v="Stapler"/>
    <n v="9"/>
    <n v="1083.8499999999999"/>
    <n v="10"/>
    <x v="2"/>
  </r>
  <r>
    <n v="10305"/>
    <x v="121"/>
    <s v="Aarav"/>
    <s v="Lucknow"/>
    <x v="3"/>
    <s v="Desk"/>
    <n v="4"/>
    <n v="946.72"/>
    <n v="5"/>
    <x v="1"/>
  </r>
  <r>
    <n v="10306"/>
    <x v="214"/>
    <s v="Kabir"/>
    <s v="Bhopal"/>
    <x v="1"/>
    <s v="Monitor"/>
    <n v="16"/>
    <n v="3498.28"/>
    <n v="15"/>
    <x v="0"/>
  </r>
  <r>
    <n v="10307"/>
    <x v="215"/>
    <s v="Anaya"/>
    <s v="Mumbai"/>
    <x v="3"/>
    <s v="Cabinet"/>
    <n v="20"/>
    <n v="3959.08"/>
    <n v="5"/>
    <x v="2"/>
  </r>
  <r>
    <n v="10308"/>
    <x v="216"/>
    <s v="Ishaan"/>
    <s v="Jaipur"/>
    <x v="2"/>
    <s v="Notebook"/>
    <n v="10"/>
    <n v="1470.32"/>
    <n v="0"/>
    <x v="2"/>
  </r>
  <r>
    <n v="10309"/>
    <x v="64"/>
    <s v="Rohan"/>
    <s v="Delhi"/>
    <x v="3"/>
    <s v="Cabinet"/>
    <n v="9"/>
    <n v="3534.72"/>
    <n v="20"/>
    <x v="2"/>
  </r>
  <r>
    <n v="10310"/>
    <x v="217"/>
    <s v="Arjun"/>
    <s v="Chennai"/>
    <x v="2"/>
    <s v="Marker"/>
    <n v="4"/>
    <n v="3588.82"/>
    <n v="10"/>
    <x v="0"/>
  </r>
  <r>
    <n v="10311"/>
    <x v="89"/>
    <s v="Priya"/>
    <s v="Pune"/>
    <x v="0"/>
    <s v="Sugar"/>
    <n v="9"/>
    <n v="288.36"/>
    <n v="15"/>
    <x v="0"/>
  </r>
  <r>
    <n v="10312"/>
    <x v="218"/>
    <s v="Aarav"/>
    <s v="Lucknow"/>
    <x v="2"/>
    <s v="Pen"/>
    <n v="17"/>
    <n v="619.54999999999995"/>
    <n v="0"/>
    <x v="4"/>
  </r>
  <r>
    <n v="10313"/>
    <x v="183"/>
    <s v="Ishaan"/>
    <s v="Kolkata"/>
    <x v="1"/>
    <s v="Keyboard"/>
    <n v="5"/>
    <n v="901.16"/>
    <n v="0"/>
    <x v="0"/>
  </r>
  <r>
    <n v="10314"/>
    <x v="75"/>
    <s v="Aarav"/>
    <s v="Jaipur"/>
    <x v="1"/>
    <s v="Mouse"/>
    <n v="9"/>
    <n v="354.58"/>
    <n v="5"/>
    <x v="4"/>
  </r>
  <r>
    <n v="10315"/>
    <x v="205"/>
    <s v="Diya"/>
    <s v="Bhopal"/>
    <x v="3"/>
    <s v="Chair"/>
    <n v="18"/>
    <n v="2887.53"/>
    <n v="20"/>
    <x v="1"/>
  </r>
  <r>
    <n v="10316"/>
    <x v="219"/>
    <s v="Diya"/>
    <s v="Pune"/>
    <x v="2"/>
    <s v="Stapler"/>
    <n v="15"/>
    <n v="372.09"/>
    <n v="5"/>
    <x v="4"/>
  </r>
  <r>
    <n v="10317"/>
    <x v="203"/>
    <s v="Kabir"/>
    <s v="Mumbai"/>
    <x v="2"/>
    <s v="Notebook"/>
    <n v="17"/>
    <n v="3988.47"/>
    <n v="5"/>
    <x v="4"/>
  </r>
  <r>
    <n v="10318"/>
    <x v="150"/>
    <s v="Sneha"/>
    <s v="Pune"/>
    <x v="3"/>
    <s v="Cabinet"/>
    <n v="20"/>
    <n v="1601.62"/>
    <n v="20"/>
    <x v="1"/>
  </r>
  <r>
    <n v="10319"/>
    <x v="220"/>
    <s v="Anaya"/>
    <s v="Bhopal"/>
    <x v="3"/>
    <s v="Desk"/>
    <n v="1"/>
    <n v="1195.22"/>
    <n v="5"/>
    <x v="4"/>
  </r>
  <r>
    <n v="10320"/>
    <x v="133"/>
    <s v="Arjun"/>
    <s v="Chennai"/>
    <x v="1"/>
    <s v="Monitor"/>
    <n v="6"/>
    <n v="1315.08"/>
    <n v="0"/>
    <x v="2"/>
  </r>
  <r>
    <n v="10321"/>
    <x v="123"/>
    <s v="Vihaan"/>
    <s v="Chennai"/>
    <x v="3"/>
    <s v="Chair"/>
    <n v="5"/>
    <n v="996.81"/>
    <n v="0"/>
    <x v="0"/>
  </r>
  <r>
    <n v="10322"/>
    <x v="221"/>
    <s v="Anaya"/>
    <s v="Pune"/>
    <x v="1"/>
    <s v="SSD"/>
    <n v="11"/>
    <n v="4411.74"/>
    <n v="10"/>
    <x v="0"/>
  </r>
  <r>
    <n v="10323"/>
    <x v="188"/>
    <s v="Vihaan"/>
    <s v="Kolkata"/>
    <x v="0"/>
    <s v="Sugar"/>
    <n v="14"/>
    <n v="53.45"/>
    <n v="5"/>
    <x v="4"/>
  </r>
  <r>
    <n v="10324"/>
    <x v="132"/>
    <s v="Arjun"/>
    <s v="Mumbai"/>
    <x v="2"/>
    <s v="Stapler"/>
    <n v="18"/>
    <n v="3546.07"/>
    <n v="15"/>
    <x v="1"/>
  </r>
  <r>
    <n v="10325"/>
    <x v="128"/>
    <s v="Sneha"/>
    <s v="Bhopal"/>
    <x v="0"/>
    <s v="Tea"/>
    <n v="8"/>
    <n v="3024.55"/>
    <n v="15"/>
    <x v="2"/>
  </r>
  <r>
    <n v="10326"/>
    <x v="222"/>
    <s v="Sneha"/>
    <s v="Jaipur"/>
    <x v="1"/>
    <s v="Monitor"/>
    <n v="14"/>
    <n v="2971.55"/>
    <n v="20"/>
    <x v="0"/>
  </r>
  <r>
    <n v="10327"/>
    <x v="223"/>
    <s v="Arjun"/>
    <s v="Bhopal"/>
    <x v="0"/>
    <s v="Tea"/>
    <n v="15"/>
    <n v="2384.77"/>
    <n v="20"/>
    <x v="4"/>
  </r>
  <r>
    <n v="10328"/>
    <x v="224"/>
    <s v="Vihaan"/>
    <s v="Jaipur"/>
    <x v="1"/>
    <s v="Mouse"/>
    <n v="4"/>
    <n v="3719.94"/>
    <n v="15"/>
    <x v="4"/>
  </r>
  <r>
    <n v="10329"/>
    <x v="201"/>
    <s v="Priya"/>
    <s v="Kolkata"/>
    <x v="0"/>
    <s v="Sugar"/>
    <n v="6"/>
    <n v="906.24"/>
    <n v="5"/>
    <x v="0"/>
  </r>
  <r>
    <n v="10330"/>
    <x v="217"/>
    <s v="Meera"/>
    <s v="Mumbai"/>
    <x v="3"/>
    <s v="Desk"/>
    <n v="18"/>
    <n v="3544.36"/>
    <n v="15"/>
    <x v="1"/>
  </r>
  <r>
    <n v="10331"/>
    <x v="225"/>
    <s v="Rohan"/>
    <s v="Indore"/>
    <x v="3"/>
    <s v="Chair"/>
    <n v="20"/>
    <n v="3881.42"/>
    <n v="20"/>
    <x v="3"/>
  </r>
  <r>
    <n v="10332"/>
    <x v="83"/>
    <s v="Vihaan"/>
    <s v="Lucknow"/>
    <x v="3"/>
    <s v="Table"/>
    <n v="10"/>
    <n v="3041.48"/>
    <n v="10"/>
    <x v="3"/>
  </r>
  <r>
    <n v="10333"/>
    <x v="226"/>
    <s v="Diya"/>
    <s v="Patna"/>
    <x v="1"/>
    <s v="Mouse"/>
    <n v="11"/>
    <n v="2298.02"/>
    <n v="5"/>
    <x v="1"/>
  </r>
  <r>
    <n v="10334"/>
    <x v="227"/>
    <s v="Kabir"/>
    <s v="Delhi"/>
    <x v="1"/>
    <s v="Mouse"/>
    <n v="15"/>
    <n v="4311.97"/>
    <n v="15"/>
    <x v="1"/>
  </r>
  <r>
    <n v="10335"/>
    <x v="228"/>
    <s v="Diya"/>
    <s v="Jaipur"/>
    <x v="3"/>
    <s v="Table"/>
    <n v="7"/>
    <n v="4920.38"/>
    <n v="15"/>
    <x v="2"/>
  </r>
  <r>
    <n v="10336"/>
    <x v="26"/>
    <s v="Kabir"/>
    <s v="Kolkata"/>
    <x v="1"/>
    <s v="Monitor"/>
    <n v="14"/>
    <n v="4049.14"/>
    <n v="10"/>
    <x v="0"/>
  </r>
  <r>
    <n v="10337"/>
    <x v="107"/>
    <s v="Ishaan"/>
    <s v="Patna"/>
    <x v="2"/>
    <s v="Marker"/>
    <n v="7"/>
    <n v="4474.88"/>
    <n v="10"/>
    <x v="4"/>
  </r>
  <r>
    <n v="10338"/>
    <x v="127"/>
    <s v="Ishaan"/>
    <s v="Bhopal"/>
    <x v="0"/>
    <s v="Coffee"/>
    <n v="17"/>
    <n v="2675.44"/>
    <n v="20"/>
    <x v="4"/>
  </r>
  <r>
    <n v="10339"/>
    <x v="229"/>
    <s v="Meera"/>
    <s v="Delhi"/>
    <x v="2"/>
    <s v="Notebook"/>
    <n v="3"/>
    <n v="4333.07"/>
    <n v="5"/>
    <x v="2"/>
  </r>
  <r>
    <n v="10340"/>
    <x v="200"/>
    <s v="Vihaan"/>
    <s v="Bhopal"/>
    <x v="2"/>
    <s v="Pen"/>
    <n v="14"/>
    <n v="3144.55"/>
    <n v="10"/>
    <x v="0"/>
  </r>
  <r>
    <n v="10341"/>
    <x v="23"/>
    <s v="Meera"/>
    <s v="Patna"/>
    <x v="1"/>
    <s v="Keyboard"/>
    <n v="12"/>
    <n v="3812.41"/>
    <n v="0"/>
    <x v="2"/>
  </r>
  <r>
    <n v="10342"/>
    <x v="186"/>
    <s v="Priya"/>
    <s v="Indore"/>
    <x v="2"/>
    <s v="Stapler"/>
    <n v="10"/>
    <n v="679.76"/>
    <n v="20"/>
    <x v="0"/>
  </r>
  <r>
    <n v="10343"/>
    <x v="2"/>
    <s v="Kabir"/>
    <s v="Chennai"/>
    <x v="0"/>
    <s v="Coffee"/>
    <n v="10"/>
    <n v="4762.7299999999996"/>
    <n v="0"/>
    <x v="0"/>
  </r>
  <r>
    <n v="10344"/>
    <x v="192"/>
    <s v="Vihaan"/>
    <s v="Kolkata"/>
    <x v="3"/>
    <s v="Chair"/>
    <n v="3"/>
    <n v="908.43"/>
    <n v="15"/>
    <x v="0"/>
  </r>
  <r>
    <n v="10345"/>
    <x v="204"/>
    <s v="Neha"/>
    <s v="Lucknow"/>
    <x v="1"/>
    <s v="Monitor"/>
    <n v="20"/>
    <n v="3140.61"/>
    <n v="20"/>
    <x v="3"/>
  </r>
  <r>
    <n v="10346"/>
    <x v="230"/>
    <s v="Rohan"/>
    <s v="Bhopal"/>
    <x v="3"/>
    <s v="Table"/>
    <n v="16"/>
    <n v="346.02"/>
    <n v="20"/>
    <x v="0"/>
  </r>
  <r>
    <n v="10347"/>
    <x v="10"/>
    <s v="Arjun"/>
    <s v="Kolkata"/>
    <x v="0"/>
    <s v="Sugar"/>
    <n v="6"/>
    <n v="4153.09"/>
    <n v="10"/>
    <x v="0"/>
  </r>
  <r>
    <n v="10348"/>
    <x v="70"/>
    <s v="Vihaan"/>
    <s v="Bhopal"/>
    <x v="1"/>
    <s v="Monitor"/>
    <n v="15"/>
    <n v="4991.5600000000004"/>
    <n v="15"/>
    <x v="3"/>
  </r>
  <r>
    <n v="10349"/>
    <x v="231"/>
    <s v="Meera"/>
    <s v="Kolkata"/>
    <x v="0"/>
    <s v="Rice"/>
    <n v="19"/>
    <n v="4103.16"/>
    <n v="10"/>
    <x v="2"/>
  </r>
  <r>
    <n v="10350"/>
    <x v="232"/>
    <s v="Neha"/>
    <s v="Kolkata"/>
    <x v="3"/>
    <s v="Desk"/>
    <n v="6"/>
    <n v="1384.2"/>
    <n v="20"/>
    <x v="3"/>
  </r>
  <r>
    <n v="10351"/>
    <x v="36"/>
    <s v="Arjun"/>
    <s v="Jaipur"/>
    <x v="2"/>
    <s v="Stapler"/>
    <n v="7"/>
    <n v="315.95"/>
    <n v="5"/>
    <x v="0"/>
  </r>
  <r>
    <n v="10352"/>
    <x v="5"/>
    <s v="Vihaan"/>
    <s v="Bhopal"/>
    <x v="0"/>
    <s v="Sugar"/>
    <n v="3"/>
    <n v="142.71"/>
    <n v="15"/>
    <x v="4"/>
  </r>
  <r>
    <n v="10353"/>
    <x v="233"/>
    <s v="Sneha"/>
    <s v="Bhopal"/>
    <x v="3"/>
    <s v="Chair"/>
    <n v="16"/>
    <n v="3487.48"/>
    <n v="0"/>
    <x v="2"/>
  </r>
  <r>
    <n v="10354"/>
    <x v="12"/>
    <s v="Kabir"/>
    <s v="Kolkata"/>
    <x v="1"/>
    <s v="Monitor"/>
    <n v="1"/>
    <n v="3493.23"/>
    <n v="5"/>
    <x v="3"/>
  </r>
  <r>
    <n v="10355"/>
    <x v="234"/>
    <s v="Diya"/>
    <s v="Chennai"/>
    <x v="1"/>
    <s v="Keyboard"/>
    <n v="15"/>
    <n v="1718.89"/>
    <n v="20"/>
    <x v="1"/>
  </r>
  <r>
    <n v="10356"/>
    <x v="175"/>
    <s v="Diya"/>
    <s v="Kolkata"/>
    <x v="1"/>
    <s v="Monitor"/>
    <n v="6"/>
    <n v="2702.05"/>
    <n v="10"/>
    <x v="1"/>
  </r>
  <r>
    <n v="10357"/>
    <x v="168"/>
    <s v="Meera"/>
    <s v="Bhopal"/>
    <x v="3"/>
    <s v="Table"/>
    <n v="8"/>
    <n v="4876.7"/>
    <n v="5"/>
    <x v="1"/>
  </r>
  <r>
    <n v="10358"/>
    <x v="147"/>
    <s v="Sneha"/>
    <s v="Kolkata"/>
    <x v="2"/>
    <s v="Notebook"/>
    <n v="10"/>
    <n v="1566.12"/>
    <n v="0"/>
    <x v="1"/>
  </r>
  <r>
    <n v="10359"/>
    <x v="77"/>
    <s v="Ishaan"/>
    <s v="Patna"/>
    <x v="2"/>
    <s v="Marker"/>
    <n v="12"/>
    <n v="1932.12"/>
    <n v="20"/>
    <x v="3"/>
  </r>
  <r>
    <n v="10360"/>
    <x v="12"/>
    <s v="Diya"/>
    <s v="Pune"/>
    <x v="2"/>
    <s v="Pen"/>
    <n v="16"/>
    <n v="1237.6600000000001"/>
    <n v="15"/>
    <x v="0"/>
  </r>
  <r>
    <n v="10361"/>
    <x v="60"/>
    <s v="Meera"/>
    <s v="Delhi"/>
    <x v="0"/>
    <s v="Rice"/>
    <n v="16"/>
    <n v="2524.0100000000002"/>
    <n v="0"/>
    <x v="4"/>
  </r>
  <r>
    <n v="10362"/>
    <x v="94"/>
    <s v="Sneha"/>
    <s v="Kolkata"/>
    <x v="3"/>
    <s v="Desk"/>
    <n v="5"/>
    <n v="3385.77"/>
    <n v="10"/>
    <x v="0"/>
  </r>
  <r>
    <n v="10363"/>
    <x v="235"/>
    <s v="Sneha"/>
    <s v="Jaipur"/>
    <x v="2"/>
    <s v="Notebook"/>
    <n v="6"/>
    <n v="546.11"/>
    <n v="0"/>
    <x v="4"/>
  </r>
  <r>
    <n v="10364"/>
    <x v="236"/>
    <s v="Anaya"/>
    <s v="Delhi"/>
    <x v="2"/>
    <s v="Marker"/>
    <n v="2"/>
    <n v="4650.67"/>
    <n v="0"/>
    <x v="2"/>
  </r>
  <r>
    <n v="10365"/>
    <x v="237"/>
    <s v="Vihaan"/>
    <s v="Delhi"/>
    <x v="2"/>
    <s v="Marker"/>
    <n v="3"/>
    <n v="3028.64"/>
    <n v="20"/>
    <x v="1"/>
  </r>
  <r>
    <n v="10366"/>
    <x v="238"/>
    <s v="Vihaan"/>
    <s v="Mumbai"/>
    <x v="3"/>
    <s v="Cabinet"/>
    <n v="6"/>
    <n v="2022.85"/>
    <n v="20"/>
    <x v="1"/>
  </r>
  <r>
    <n v="10367"/>
    <x v="21"/>
    <s v="Vihaan"/>
    <s v="Indore"/>
    <x v="1"/>
    <s v="Keyboard"/>
    <n v="13"/>
    <n v="4082.94"/>
    <n v="20"/>
    <x v="0"/>
  </r>
  <r>
    <n v="10368"/>
    <x v="135"/>
    <s v="Anaya"/>
    <s v="Delhi"/>
    <x v="2"/>
    <s v="Stapler"/>
    <n v="9"/>
    <n v="1635.4"/>
    <n v="20"/>
    <x v="4"/>
  </r>
  <r>
    <n v="10369"/>
    <x v="127"/>
    <s v="Aarav"/>
    <s v="Delhi"/>
    <x v="0"/>
    <s v="Rice"/>
    <n v="8"/>
    <n v="4563.79"/>
    <n v="5"/>
    <x v="2"/>
  </r>
  <r>
    <n v="10370"/>
    <x v="133"/>
    <s v="Anaya"/>
    <s v="Chennai"/>
    <x v="3"/>
    <s v="Desk"/>
    <n v="12"/>
    <n v="2341.96"/>
    <n v="10"/>
    <x v="2"/>
  </r>
  <r>
    <n v="10371"/>
    <x v="3"/>
    <s v="Sneha"/>
    <s v="Delhi"/>
    <x v="0"/>
    <s v="Coffee"/>
    <n v="19"/>
    <n v="4482.6899999999996"/>
    <n v="15"/>
    <x v="3"/>
  </r>
  <r>
    <n v="10372"/>
    <x v="239"/>
    <s v="Diya"/>
    <s v="Jaipur"/>
    <x v="2"/>
    <s v="Marker"/>
    <n v="3"/>
    <n v="4317.07"/>
    <n v="15"/>
    <x v="4"/>
  </r>
  <r>
    <n v="10373"/>
    <x v="240"/>
    <s v="Diya"/>
    <s v="Lucknow"/>
    <x v="2"/>
    <s v="Pen"/>
    <n v="20"/>
    <n v="3730.67"/>
    <n v="20"/>
    <x v="1"/>
  </r>
  <r>
    <n v="10374"/>
    <x v="39"/>
    <s v="Diya"/>
    <s v="Chennai"/>
    <x v="3"/>
    <s v="Table"/>
    <n v="11"/>
    <n v="1117.1600000000001"/>
    <n v="15"/>
    <x v="4"/>
  </r>
  <r>
    <n v="10375"/>
    <x v="151"/>
    <s v="Meera"/>
    <s v="Delhi"/>
    <x v="0"/>
    <s v="Rice"/>
    <n v="3"/>
    <n v="2113.4"/>
    <n v="0"/>
    <x v="4"/>
  </r>
  <r>
    <n v="10376"/>
    <x v="241"/>
    <s v="Diya"/>
    <s v="Bhopal"/>
    <x v="2"/>
    <s v="Pen"/>
    <n v="1"/>
    <n v="2165.14"/>
    <n v="15"/>
    <x v="3"/>
  </r>
  <r>
    <n v="10377"/>
    <x v="242"/>
    <s v="Aarav"/>
    <s v="Mumbai"/>
    <x v="3"/>
    <s v="Chair"/>
    <n v="16"/>
    <n v="1398.82"/>
    <n v="0"/>
    <x v="2"/>
  </r>
  <r>
    <n v="10378"/>
    <x v="108"/>
    <s v="Priya"/>
    <s v="Chennai"/>
    <x v="3"/>
    <s v="Table"/>
    <n v="6"/>
    <n v="137.65"/>
    <n v="15"/>
    <x v="2"/>
  </r>
  <r>
    <n v="10379"/>
    <x v="20"/>
    <s v="Meera"/>
    <s v="Chennai"/>
    <x v="1"/>
    <s v="Monitor"/>
    <n v="1"/>
    <n v="1468.49"/>
    <n v="20"/>
    <x v="4"/>
  </r>
  <r>
    <n v="10380"/>
    <x v="212"/>
    <s v="Ishaan"/>
    <s v="Jaipur"/>
    <x v="3"/>
    <s v="Cabinet"/>
    <n v="3"/>
    <n v="1654.15"/>
    <n v="0"/>
    <x v="4"/>
  </r>
  <r>
    <n v="10381"/>
    <x v="243"/>
    <s v="Arjun"/>
    <s v="Bhopal"/>
    <x v="1"/>
    <s v="Monitor"/>
    <n v="13"/>
    <n v="3021.24"/>
    <n v="10"/>
    <x v="0"/>
  </r>
  <r>
    <n v="10382"/>
    <x v="199"/>
    <s v="Meera"/>
    <s v="Jaipur"/>
    <x v="1"/>
    <s v="Keyboard"/>
    <n v="13"/>
    <n v="3073.62"/>
    <n v="15"/>
    <x v="1"/>
  </r>
  <r>
    <n v="10383"/>
    <x v="27"/>
    <s v="Rohan"/>
    <s v="Patna"/>
    <x v="3"/>
    <s v="Chair"/>
    <n v="14"/>
    <n v="3651.08"/>
    <n v="0"/>
    <x v="0"/>
  </r>
  <r>
    <n v="10384"/>
    <x v="244"/>
    <s v="Arjun"/>
    <s v="Mumbai"/>
    <x v="1"/>
    <s v="Mouse"/>
    <n v="8"/>
    <n v="1834.72"/>
    <n v="5"/>
    <x v="1"/>
  </r>
  <r>
    <n v="10385"/>
    <x v="245"/>
    <s v="Anaya"/>
    <s v="Lucknow"/>
    <x v="1"/>
    <s v="Mouse"/>
    <n v="14"/>
    <n v="3718.49"/>
    <n v="15"/>
    <x v="3"/>
  </r>
  <r>
    <n v="10386"/>
    <x v="119"/>
    <s v="Rohan"/>
    <s v="Pune"/>
    <x v="0"/>
    <s v="Sugar"/>
    <n v="15"/>
    <n v="3767.15"/>
    <n v="10"/>
    <x v="0"/>
  </r>
  <r>
    <n v="10387"/>
    <x v="121"/>
    <s v="Kabir"/>
    <s v="Lucknow"/>
    <x v="1"/>
    <s v="Keyboard"/>
    <n v="5"/>
    <n v="4144.37"/>
    <n v="5"/>
    <x v="2"/>
  </r>
  <r>
    <n v="10388"/>
    <x v="207"/>
    <s v="Arjun"/>
    <s v="Chennai"/>
    <x v="3"/>
    <s v="Chair"/>
    <n v="15"/>
    <n v="1484.17"/>
    <n v="5"/>
    <x v="1"/>
  </r>
  <r>
    <n v="10389"/>
    <x v="186"/>
    <s v="Rohan"/>
    <s v="Kolkata"/>
    <x v="0"/>
    <s v="Rice"/>
    <n v="5"/>
    <n v="1647.81"/>
    <n v="20"/>
    <x v="4"/>
  </r>
  <r>
    <n v="10390"/>
    <x v="245"/>
    <s v="Sneha"/>
    <s v="Kolkata"/>
    <x v="0"/>
    <s v="Sugar"/>
    <n v="1"/>
    <n v="3301.12"/>
    <n v="20"/>
    <x v="1"/>
  </r>
  <r>
    <n v="10391"/>
    <x v="246"/>
    <s v="Aarav"/>
    <s v="Bhopal"/>
    <x v="1"/>
    <s v="SSD"/>
    <n v="8"/>
    <n v="3073.06"/>
    <n v="20"/>
    <x v="3"/>
  </r>
  <r>
    <n v="10392"/>
    <x v="247"/>
    <s v="Rohan"/>
    <s v="Kolkata"/>
    <x v="0"/>
    <s v="Coffee"/>
    <n v="10"/>
    <n v="1822.59"/>
    <n v="20"/>
    <x v="0"/>
  </r>
  <r>
    <n v="10393"/>
    <x v="248"/>
    <s v="Meera"/>
    <s v="Pune"/>
    <x v="2"/>
    <s v="Marker"/>
    <n v="13"/>
    <n v="658.09"/>
    <n v="0"/>
    <x v="1"/>
  </r>
  <r>
    <n v="10394"/>
    <x v="190"/>
    <s v="Priya"/>
    <s v="Chennai"/>
    <x v="0"/>
    <s v="Tea"/>
    <n v="19"/>
    <n v="4292.91"/>
    <n v="0"/>
    <x v="1"/>
  </r>
  <r>
    <n v="10395"/>
    <x v="249"/>
    <s v="Vihaan"/>
    <s v="Indore"/>
    <x v="2"/>
    <s v="Marker"/>
    <n v="14"/>
    <n v="557.24"/>
    <n v="10"/>
    <x v="0"/>
  </r>
  <r>
    <n v="10396"/>
    <x v="110"/>
    <s v="Vihaan"/>
    <s v="Kolkata"/>
    <x v="2"/>
    <s v="Notebook"/>
    <n v="9"/>
    <n v="3252.54"/>
    <n v="10"/>
    <x v="0"/>
  </r>
  <r>
    <n v="10397"/>
    <x v="0"/>
    <s v="Rohan"/>
    <s v="Pune"/>
    <x v="0"/>
    <s v="Coffee"/>
    <n v="11"/>
    <n v="491.91"/>
    <n v="20"/>
    <x v="3"/>
  </r>
  <r>
    <n v="10398"/>
    <x v="154"/>
    <s v="Meera"/>
    <s v="Patna"/>
    <x v="3"/>
    <s v="Table"/>
    <n v="8"/>
    <n v="2863.94"/>
    <n v="10"/>
    <x v="4"/>
  </r>
  <r>
    <n v="10399"/>
    <x v="201"/>
    <s v="Anaya"/>
    <s v="Pune"/>
    <x v="1"/>
    <s v="Monitor"/>
    <n v="12"/>
    <n v="4526.3100000000004"/>
    <n v="20"/>
    <x v="2"/>
  </r>
  <r>
    <n v="10400"/>
    <x v="250"/>
    <s v="Priya"/>
    <s v="Jaipur"/>
    <x v="2"/>
    <s v="Notebook"/>
    <n v="20"/>
    <n v="819.81"/>
    <n v="20"/>
    <x v="2"/>
  </r>
  <r>
    <n v="10401"/>
    <x v="209"/>
    <s v="Rohan"/>
    <s v="Mumbai"/>
    <x v="3"/>
    <s v="Chair"/>
    <n v="11"/>
    <n v="4764.49"/>
    <n v="15"/>
    <x v="2"/>
  </r>
  <r>
    <n v="10402"/>
    <x v="222"/>
    <s v="Vihaan"/>
    <s v="Pune"/>
    <x v="2"/>
    <s v="Pen"/>
    <n v="3"/>
    <n v="3309.66"/>
    <n v="15"/>
    <x v="0"/>
  </r>
  <r>
    <n v="10403"/>
    <x v="251"/>
    <s v="Sneha"/>
    <s v="Jaipur"/>
    <x v="0"/>
    <s v="Sugar"/>
    <n v="17"/>
    <n v="3674.24"/>
    <n v="15"/>
    <x v="1"/>
  </r>
  <r>
    <n v="10404"/>
    <x v="2"/>
    <s v="Priya"/>
    <s v="Bhopal"/>
    <x v="1"/>
    <s v="Keyboard"/>
    <n v="12"/>
    <n v="80.599999999999994"/>
    <n v="15"/>
    <x v="0"/>
  </r>
  <r>
    <n v="10405"/>
    <x v="63"/>
    <s v="Diya"/>
    <s v="Pune"/>
    <x v="3"/>
    <s v="Cabinet"/>
    <n v="14"/>
    <n v="4500.47"/>
    <n v="20"/>
    <x v="1"/>
  </r>
  <r>
    <n v="10406"/>
    <x v="252"/>
    <s v="Kabir"/>
    <s v="Indore"/>
    <x v="0"/>
    <s v="Coffee"/>
    <n v="12"/>
    <n v="4018.61"/>
    <n v="20"/>
    <x v="4"/>
  </r>
  <r>
    <n v="10407"/>
    <x v="180"/>
    <s v="Meera"/>
    <s v="Delhi"/>
    <x v="3"/>
    <s v="Cabinet"/>
    <n v="9"/>
    <n v="347.75"/>
    <n v="10"/>
    <x v="0"/>
  </r>
  <r>
    <n v="10408"/>
    <x v="74"/>
    <s v="Meera"/>
    <s v="Patna"/>
    <x v="3"/>
    <s v="Cabinet"/>
    <n v="10"/>
    <n v="4708.66"/>
    <n v="20"/>
    <x v="2"/>
  </r>
  <r>
    <n v="10409"/>
    <x v="67"/>
    <s v="Arjun"/>
    <s v="Delhi"/>
    <x v="0"/>
    <s v="Coffee"/>
    <n v="5"/>
    <n v="2813.73"/>
    <n v="15"/>
    <x v="4"/>
  </r>
  <r>
    <n v="10410"/>
    <x v="253"/>
    <s v="Rohan"/>
    <s v="Chennai"/>
    <x v="0"/>
    <s v="Tea"/>
    <n v="16"/>
    <n v="401.67"/>
    <n v="20"/>
    <x v="2"/>
  </r>
  <r>
    <n v="10411"/>
    <x v="254"/>
    <s v="Meera"/>
    <s v="Lucknow"/>
    <x v="0"/>
    <s v="Tea"/>
    <n v="12"/>
    <n v="2757.96"/>
    <n v="0"/>
    <x v="1"/>
  </r>
  <r>
    <n v="10412"/>
    <x v="173"/>
    <s v="Neha"/>
    <s v="Chennai"/>
    <x v="0"/>
    <s v="Tea"/>
    <n v="7"/>
    <n v="1357.72"/>
    <n v="20"/>
    <x v="0"/>
  </r>
  <r>
    <n v="10413"/>
    <x v="162"/>
    <s v="Sneha"/>
    <s v="Bhopal"/>
    <x v="3"/>
    <s v="Chair"/>
    <n v="16"/>
    <n v="468"/>
    <n v="15"/>
    <x v="3"/>
  </r>
  <r>
    <n v="10414"/>
    <x v="42"/>
    <s v="Vihaan"/>
    <s v="Bhopal"/>
    <x v="0"/>
    <s v="Tea"/>
    <n v="4"/>
    <n v="2117.8200000000002"/>
    <n v="5"/>
    <x v="1"/>
  </r>
  <r>
    <n v="10415"/>
    <x v="235"/>
    <s v="Aarav"/>
    <s v="Jaipur"/>
    <x v="1"/>
    <s v="SSD"/>
    <n v="20"/>
    <n v="3429.67"/>
    <n v="0"/>
    <x v="2"/>
  </r>
  <r>
    <n v="10416"/>
    <x v="98"/>
    <s v="Anaya"/>
    <s v="Mumbai"/>
    <x v="3"/>
    <s v="Chair"/>
    <n v="4"/>
    <n v="461.72"/>
    <n v="15"/>
    <x v="4"/>
  </r>
  <r>
    <n v="10417"/>
    <x v="150"/>
    <s v="Meera"/>
    <s v="Lucknow"/>
    <x v="2"/>
    <s v="Marker"/>
    <n v="19"/>
    <n v="3662.3"/>
    <n v="10"/>
    <x v="0"/>
  </r>
  <r>
    <n v="10418"/>
    <x v="81"/>
    <s v="Sneha"/>
    <s v="Patna"/>
    <x v="1"/>
    <s v="Monitor"/>
    <n v="10"/>
    <n v="4131.0600000000004"/>
    <n v="10"/>
    <x v="2"/>
  </r>
  <r>
    <n v="10419"/>
    <x v="129"/>
    <s v="Priya"/>
    <s v="Pune"/>
    <x v="2"/>
    <s v="Pen"/>
    <n v="13"/>
    <n v="1896.56"/>
    <n v="5"/>
    <x v="1"/>
  </r>
  <r>
    <n v="10420"/>
    <x v="255"/>
    <s v="Diya"/>
    <s v="Lucknow"/>
    <x v="0"/>
    <s v="Rice"/>
    <n v="2"/>
    <n v="2949.41"/>
    <n v="15"/>
    <x v="3"/>
  </r>
  <r>
    <n v="10421"/>
    <x v="225"/>
    <s v="Sneha"/>
    <s v="Patna"/>
    <x v="3"/>
    <s v="Chair"/>
    <n v="14"/>
    <n v="2572.65"/>
    <n v="10"/>
    <x v="4"/>
  </r>
  <r>
    <n v="10422"/>
    <x v="123"/>
    <s v="Ishaan"/>
    <s v="Mumbai"/>
    <x v="0"/>
    <s v="Tea"/>
    <n v="5"/>
    <n v="1646.36"/>
    <n v="10"/>
    <x v="4"/>
  </r>
  <r>
    <n v="10423"/>
    <x v="125"/>
    <s v="Meera"/>
    <s v="Bhopal"/>
    <x v="1"/>
    <s v="Keyboard"/>
    <n v="8"/>
    <n v="1633.88"/>
    <n v="10"/>
    <x v="3"/>
  </r>
  <r>
    <n v="10424"/>
    <x v="256"/>
    <s v="Ishaan"/>
    <s v="Pune"/>
    <x v="1"/>
    <s v="SSD"/>
    <n v="6"/>
    <n v="3898.12"/>
    <n v="0"/>
    <x v="4"/>
  </r>
  <r>
    <n v="10425"/>
    <x v="103"/>
    <s v="Meera"/>
    <s v="Chennai"/>
    <x v="2"/>
    <s v="Stapler"/>
    <n v="2"/>
    <n v="3971.77"/>
    <n v="20"/>
    <x v="3"/>
  </r>
  <r>
    <n v="10426"/>
    <x v="257"/>
    <s v="Vihaan"/>
    <s v="Kolkata"/>
    <x v="3"/>
    <s v="Table"/>
    <n v="14"/>
    <n v="4935.6099999999997"/>
    <n v="0"/>
    <x v="2"/>
  </r>
  <r>
    <n v="10427"/>
    <x v="258"/>
    <s v="Rohan"/>
    <s v="Delhi"/>
    <x v="0"/>
    <s v="Sugar"/>
    <n v="10"/>
    <n v="3352.42"/>
    <n v="10"/>
    <x v="0"/>
  </r>
  <r>
    <n v="10428"/>
    <x v="259"/>
    <s v="Diya"/>
    <s v="Patna"/>
    <x v="3"/>
    <s v="Chair"/>
    <n v="17"/>
    <n v="566.38"/>
    <n v="15"/>
    <x v="3"/>
  </r>
  <r>
    <n v="10429"/>
    <x v="14"/>
    <s v="Diya"/>
    <s v="Mumbai"/>
    <x v="3"/>
    <s v="Desk"/>
    <n v="1"/>
    <n v="2821.46"/>
    <n v="15"/>
    <x v="0"/>
  </r>
  <r>
    <n v="10430"/>
    <x v="196"/>
    <s v="Diya"/>
    <s v="Jaipur"/>
    <x v="1"/>
    <s v="Monitor"/>
    <n v="18"/>
    <n v="110.65"/>
    <n v="5"/>
    <x v="3"/>
  </r>
  <r>
    <n v="10431"/>
    <x v="184"/>
    <s v="Neha"/>
    <s v="Kolkata"/>
    <x v="1"/>
    <s v="Keyboard"/>
    <n v="10"/>
    <n v="1757.27"/>
    <n v="10"/>
    <x v="4"/>
  </r>
  <r>
    <n v="10432"/>
    <x v="20"/>
    <s v="Aarav"/>
    <s v="Mumbai"/>
    <x v="1"/>
    <s v="Keyboard"/>
    <n v="2"/>
    <n v="984.23"/>
    <n v="15"/>
    <x v="2"/>
  </r>
  <r>
    <n v="10433"/>
    <x v="176"/>
    <s v="Arjun"/>
    <s v="Delhi"/>
    <x v="2"/>
    <s v="Notebook"/>
    <n v="4"/>
    <n v="4356.88"/>
    <n v="0"/>
    <x v="4"/>
  </r>
  <r>
    <n v="10434"/>
    <x v="113"/>
    <s v="Vihaan"/>
    <s v="Jaipur"/>
    <x v="3"/>
    <s v="Chair"/>
    <n v="12"/>
    <n v="4797.13"/>
    <n v="20"/>
    <x v="3"/>
  </r>
  <r>
    <n v="10435"/>
    <x v="260"/>
    <s v="Anaya"/>
    <s v="Indore"/>
    <x v="0"/>
    <s v="Tea"/>
    <n v="4"/>
    <n v="4055"/>
    <n v="20"/>
    <x v="0"/>
  </r>
  <r>
    <n v="10436"/>
    <x v="191"/>
    <s v="Sneha"/>
    <s v="Mumbai"/>
    <x v="3"/>
    <s v="Desk"/>
    <n v="15"/>
    <n v="1551.63"/>
    <n v="15"/>
    <x v="2"/>
  </r>
  <r>
    <n v="10437"/>
    <x v="70"/>
    <s v="Aarav"/>
    <s v="Delhi"/>
    <x v="0"/>
    <s v="Rice"/>
    <n v="11"/>
    <n v="895.42"/>
    <n v="10"/>
    <x v="3"/>
  </r>
  <r>
    <n v="10438"/>
    <x v="150"/>
    <s v="Meera"/>
    <s v="Mumbai"/>
    <x v="2"/>
    <s v="Stapler"/>
    <n v="11"/>
    <n v="4931.04"/>
    <n v="5"/>
    <x v="3"/>
  </r>
  <r>
    <n v="10439"/>
    <x v="25"/>
    <s v="Anaya"/>
    <s v="Delhi"/>
    <x v="3"/>
    <s v="Chair"/>
    <n v="4"/>
    <n v="3845.08"/>
    <n v="15"/>
    <x v="3"/>
  </r>
  <r>
    <n v="10440"/>
    <x v="23"/>
    <s v="Diya"/>
    <s v="Mumbai"/>
    <x v="2"/>
    <s v="Pen"/>
    <n v="15"/>
    <n v="3592.86"/>
    <n v="5"/>
    <x v="4"/>
  </r>
  <r>
    <n v="10441"/>
    <x v="241"/>
    <s v="Rohan"/>
    <s v="Delhi"/>
    <x v="3"/>
    <s v="Cabinet"/>
    <n v="9"/>
    <n v="3081.51"/>
    <n v="10"/>
    <x v="0"/>
  </r>
  <r>
    <n v="10442"/>
    <x v="169"/>
    <s v="Meera"/>
    <s v="Mumbai"/>
    <x v="0"/>
    <s v="Rice"/>
    <n v="6"/>
    <n v="1901.36"/>
    <n v="20"/>
    <x v="1"/>
  </r>
  <r>
    <n v="10443"/>
    <x v="7"/>
    <s v="Kabir"/>
    <s v="Delhi"/>
    <x v="1"/>
    <s v="Monitor"/>
    <n v="1"/>
    <n v="2693.58"/>
    <n v="10"/>
    <x v="2"/>
  </r>
  <r>
    <n v="10444"/>
    <x v="76"/>
    <s v="Rohan"/>
    <s v="Pune"/>
    <x v="1"/>
    <s v="Mouse"/>
    <n v="18"/>
    <n v="1294.68"/>
    <n v="15"/>
    <x v="1"/>
  </r>
  <r>
    <n v="10445"/>
    <x v="225"/>
    <s v="Rohan"/>
    <s v="Lucknow"/>
    <x v="2"/>
    <s v="Pen"/>
    <n v="2"/>
    <n v="806.75"/>
    <n v="0"/>
    <x v="3"/>
  </r>
  <r>
    <n v="10446"/>
    <x v="160"/>
    <s v="Aarav"/>
    <s v="Bhopal"/>
    <x v="2"/>
    <s v="Stapler"/>
    <n v="10"/>
    <n v="1898.55"/>
    <n v="5"/>
    <x v="1"/>
  </r>
  <r>
    <n v="10447"/>
    <x v="124"/>
    <s v="Rohan"/>
    <s v="Mumbai"/>
    <x v="1"/>
    <s v="Mouse"/>
    <n v="18"/>
    <n v="1898.32"/>
    <n v="10"/>
    <x v="3"/>
  </r>
  <r>
    <n v="10448"/>
    <x v="24"/>
    <s v="Aarav"/>
    <s v="Lucknow"/>
    <x v="1"/>
    <s v="SSD"/>
    <n v="4"/>
    <n v="1467.78"/>
    <n v="20"/>
    <x v="2"/>
  </r>
  <r>
    <n v="10449"/>
    <x v="58"/>
    <s v="Diya"/>
    <s v="Jaipur"/>
    <x v="0"/>
    <s v="Coffee"/>
    <n v="15"/>
    <n v="4612.1000000000004"/>
    <n v="5"/>
    <x v="4"/>
  </r>
  <r>
    <n v="10450"/>
    <x v="261"/>
    <s v="Priya"/>
    <s v="Jaipur"/>
    <x v="0"/>
    <s v="Sugar"/>
    <n v="12"/>
    <n v="3881.19"/>
    <n v="15"/>
    <x v="2"/>
  </r>
  <r>
    <n v="10451"/>
    <x v="162"/>
    <s v="Meera"/>
    <s v="Indore"/>
    <x v="2"/>
    <s v="Stapler"/>
    <n v="1"/>
    <n v="4369.43"/>
    <n v="15"/>
    <x v="0"/>
  </r>
  <r>
    <n v="10452"/>
    <x v="176"/>
    <s v="Meera"/>
    <s v="Lucknow"/>
    <x v="2"/>
    <s v="Pen"/>
    <n v="20"/>
    <n v="3583.32"/>
    <n v="20"/>
    <x v="2"/>
  </r>
  <r>
    <n v="10453"/>
    <x v="106"/>
    <s v="Sneha"/>
    <s v="Pune"/>
    <x v="0"/>
    <s v="Tea"/>
    <n v="15"/>
    <n v="4795.13"/>
    <n v="0"/>
    <x v="3"/>
  </r>
  <r>
    <n v="10454"/>
    <x v="262"/>
    <s v="Diya"/>
    <s v="Delhi"/>
    <x v="0"/>
    <s v="Tea"/>
    <n v="18"/>
    <n v="4083.83"/>
    <n v="0"/>
    <x v="0"/>
  </r>
  <r>
    <n v="10455"/>
    <x v="1"/>
    <s v="Vihaan"/>
    <s v="Indore"/>
    <x v="0"/>
    <s v="Coffee"/>
    <n v="19"/>
    <n v="2076.7800000000002"/>
    <n v="20"/>
    <x v="4"/>
  </r>
  <r>
    <n v="10456"/>
    <x v="188"/>
    <s v="Aarav"/>
    <s v="Indore"/>
    <x v="1"/>
    <s v="SSD"/>
    <n v="5"/>
    <n v="4830.22"/>
    <n v="20"/>
    <x v="3"/>
  </r>
  <r>
    <n v="10457"/>
    <x v="102"/>
    <s v="Priya"/>
    <s v="Indore"/>
    <x v="2"/>
    <s v="Stapler"/>
    <n v="4"/>
    <n v="3496.85"/>
    <n v="5"/>
    <x v="0"/>
  </r>
  <r>
    <n v="10458"/>
    <x v="263"/>
    <s v="Rohan"/>
    <s v="Indore"/>
    <x v="1"/>
    <s v="Keyboard"/>
    <n v="17"/>
    <n v="3307.06"/>
    <n v="0"/>
    <x v="4"/>
  </r>
  <r>
    <n v="10459"/>
    <x v="153"/>
    <s v="Priya"/>
    <s v="Chennai"/>
    <x v="2"/>
    <s v="Marker"/>
    <n v="12"/>
    <n v="2142.9299999999998"/>
    <n v="15"/>
    <x v="3"/>
  </r>
  <r>
    <n v="10460"/>
    <x v="46"/>
    <s v="Diya"/>
    <s v="Kolkata"/>
    <x v="0"/>
    <s v="Tea"/>
    <n v="1"/>
    <n v="1722.74"/>
    <n v="20"/>
    <x v="0"/>
  </r>
  <r>
    <n v="10461"/>
    <x v="198"/>
    <s v="Diya"/>
    <s v="Jaipur"/>
    <x v="0"/>
    <s v="Sugar"/>
    <n v="12"/>
    <n v="4846.67"/>
    <n v="10"/>
    <x v="3"/>
  </r>
  <r>
    <n v="10462"/>
    <x v="6"/>
    <s v="Neha"/>
    <s v="Chennai"/>
    <x v="3"/>
    <s v="Cabinet"/>
    <n v="5"/>
    <n v="2206.3200000000002"/>
    <n v="0"/>
    <x v="4"/>
  </r>
  <r>
    <n v="10463"/>
    <x v="243"/>
    <s v="Meera"/>
    <s v="Lucknow"/>
    <x v="2"/>
    <s v="Marker"/>
    <n v="13"/>
    <n v="77.36"/>
    <n v="10"/>
    <x v="4"/>
  </r>
  <r>
    <n v="10464"/>
    <x v="184"/>
    <s v="Aarav"/>
    <s v="Indore"/>
    <x v="2"/>
    <s v="Marker"/>
    <n v="16"/>
    <n v="325.32"/>
    <n v="10"/>
    <x v="4"/>
  </r>
  <r>
    <n v="10465"/>
    <x v="243"/>
    <s v="Vihaan"/>
    <s v="Chennai"/>
    <x v="3"/>
    <s v="Desk"/>
    <n v="5"/>
    <n v="3779.31"/>
    <n v="20"/>
    <x v="2"/>
  </r>
  <r>
    <n v="10466"/>
    <x v="96"/>
    <s v="Priya"/>
    <s v="Kolkata"/>
    <x v="1"/>
    <s v="Monitor"/>
    <n v="6"/>
    <n v="1546.44"/>
    <n v="20"/>
    <x v="0"/>
  </r>
  <r>
    <n v="10467"/>
    <x v="264"/>
    <s v="Kabir"/>
    <s v="Pune"/>
    <x v="1"/>
    <s v="Mouse"/>
    <n v="8"/>
    <n v="3968.93"/>
    <n v="10"/>
    <x v="2"/>
  </r>
  <r>
    <n v="10468"/>
    <x v="0"/>
    <s v="Aarav"/>
    <s v="Patna"/>
    <x v="0"/>
    <s v="Rice"/>
    <n v="8"/>
    <n v="2224.2399999999998"/>
    <n v="15"/>
    <x v="1"/>
  </r>
  <r>
    <n v="10469"/>
    <x v="81"/>
    <s v="Kabir"/>
    <s v="Bhopal"/>
    <x v="0"/>
    <s v="Tea"/>
    <n v="20"/>
    <n v="880.96"/>
    <n v="15"/>
    <x v="4"/>
  </r>
  <r>
    <n v="10470"/>
    <x v="252"/>
    <s v="Priya"/>
    <s v="Bhopal"/>
    <x v="2"/>
    <s v="Stapler"/>
    <n v="6"/>
    <n v="154.31"/>
    <n v="10"/>
    <x v="3"/>
  </r>
  <r>
    <n v="10471"/>
    <x v="29"/>
    <s v="Diya"/>
    <s v="Jaipur"/>
    <x v="1"/>
    <s v="Monitor"/>
    <n v="8"/>
    <n v="1505.08"/>
    <n v="0"/>
    <x v="0"/>
  </r>
  <r>
    <n v="10472"/>
    <x v="104"/>
    <s v="Diya"/>
    <s v="Indore"/>
    <x v="2"/>
    <s v="Marker"/>
    <n v="3"/>
    <n v="2055.4499999999998"/>
    <n v="10"/>
    <x v="2"/>
  </r>
  <r>
    <n v="10473"/>
    <x v="265"/>
    <s v="Priya"/>
    <s v="Lucknow"/>
    <x v="1"/>
    <s v="Mouse"/>
    <n v="19"/>
    <n v="3909.86"/>
    <n v="15"/>
    <x v="0"/>
  </r>
  <r>
    <n v="10474"/>
    <x v="151"/>
    <s v="Ishaan"/>
    <s v="Jaipur"/>
    <x v="1"/>
    <s v="Keyboard"/>
    <n v="17"/>
    <n v="1519.29"/>
    <n v="0"/>
    <x v="0"/>
  </r>
  <r>
    <n v="10475"/>
    <x v="38"/>
    <s v="Arjun"/>
    <s v="Jaipur"/>
    <x v="3"/>
    <s v="Chair"/>
    <n v="5"/>
    <n v="565.51"/>
    <n v="5"/>
    <x v="2"/>
  </r>
  <r>
    <n v="10476"/>
    <x v="245"/>
    <s v="Arjun"/>
    <s v="Chennai"/>
    <x v="3"/>
    <s v="Desk"/>
    <n v="7"/>
    <n v="4443.84"/>
    <n v="0"/>
    <x v="4"/>
  </r>
  <r>
    <n v="10477"/>
    <x v="211"/>
    <s v="Priya"/>
    <s v="Kolkata"/>
    <x v="3"/>
    <s v="Table"/>
    <n v="9"/>
    <n v="3308.58"/>
    <n v="15"/>
    <x v="3"/>
  </r>
  <r>
    <n v="10478"/>
    <x v="124"/>
    <s v="Sneha"/>
    <s v="Indore"/>
    <x v="0"/>
    <s v="Rice"/>
    <n v="10"/>
    <n v="4146.09"/>
    <n v="5"/>
    <x v="2"/>
  </r>
  <r>
    <n v="10479"/>
    <x v="266"/>
    <s v="Neha"/>
    <s v="Lucknow"/>
    <x v="1"/>
    <s v="Monitor"/>
    <n v="15"/>
    <n v="3917.53"/>
    <n v="15"/>
    <x v="2"/>
  </r>
  <r>
    <n v="10480"/>
    <x v="226"/>
    <s v="Vihaan"/>
    <s v="Bhopal"/>
    <x v="1"/>
    <s v="SSD"/>
    <n v="2"/>
    <n v="3570.62"/>
    <n v="5"/>
    <x v="3"/>
  </r>
  <r>
    <n v="10481"/>
    <x v="267"/>
    <s v="Vihaan"/>
    <s v="Bhopal"/>
    <x v="1"/>
    <s v="Monitor"/>
    <n v="7"/>
    <n v="3021.64"/>
    <n v="15"/>
    <x v="4"/>
  </r>
  <r>
    <n v="10482"/>
    <x v="21"/>
    <s v="Arjun"/>
    <s v="Kolkata"/>
    <x v="0"/>
    <s v="Tea"/>
    <n v="15"/>
    <n v="3536.32"/>
    <n v="5"/>
    <x v="0"/>
  </r>
  <r>
    <n v="10483"/>
    <x v="61"/>
    <s v="Sneha"/>
    <s v="Jaipur"/>
    <x v="0"/>
    <s v="Coffee"/>
    <n v="14"/>
    <n v="465.25"/>
    <n v="15"/>
    <x v="1"/>
  </r>
  <r>
    <n v="10484"/>
    <x v="268"/>
    <s v="Diya"/>
    <s v="Kolkata"/>
    <x v="0"/>
    <s v="Rice"/>
    <n v="6"/>
    <n v="2790.56"/>
    <n v="20"/>
    <x v="2"/>
  </r>
  <r>
    <n v="10485"/>
    <x v="172"/>
    <s v="Neha"/>
    <s v="Lucknow"/>
    <x v="0"/>
    <s v="Coffee"/>
    <n v="2"/>
    <n v="3138.96"/>
    <n v="0"/>
    <x v="4"/>
  </r>
  <r>
    <n v="10486"/>
    <x v="135"/>
    <s v="Arjun"/>
    <s v="Chennai"/>
    <x v="3"/>
    <s v="Table"/>
    <n v="18"/>
    <n v="1364.35"/>
    <n v="5"/>
    <x v="3"/>
  </r>
  <r>
    <n v="10487"/>
    <x v="269"/>
    <s v="Kabir"/>
    <s v="Chennai"/>
    <x v="2"/>
    <s v="Notebook"/>
    <n v="3"/>
    <n v="1388.14"/>
    <n v="5"/>
    <x v="3"/>
  </r>
  <r>
    <n v="10488"/>
    <x v="270"/>
    <s v="Rohan"/>
    <s v="Chennai"/>
    <x v="3"/>
    <s v="Chair"/>
    <n v="7"/>
    <n v="4834.97"/>
    <n v="0"/>
    <x v="2"/>
  </r>
  <r>
    <n v="10489"/>
    <x v="245"/>
    <s v="Priya"/>
    <s v="Bhopal"/>
    <x v="3"/>
    <s v="Desk"/>
    <n v="11"/>
    <n v="1507.25"/>
    <n v="5"/>
    <x v="3"/>
  </r>
  <r>
    <n v="10490"/>
    <x v="271"/>
    <s v="Aarav"/>
    <s v="Bhopal"/>
    <x v="1"/>
    <s v="Monitor"/>
    <n v="7"/>
    <n v="3106.84"/>
    <n v="15"/>
    <x v="2"/>
  </r>
  <r>
    <n v="10491"/>
    <x v="31"/>
    <s v="Kabir"/>
    <s v="Patna"/>
    <x v="2"/>
    <s v="Marker"/>
    <n v="5"/>
    <n v="4412.41"/>
    <n v="10"/>
    <x v="0"/>
  </r>
  <r>
    <n v="10492"/>
    <x v="163"/>
    <s v="Meera"/>
    <s v="Kolkata"/>
    <x v="3"/>
    <s v="Desk"/>
    <n v="1"/>
    <n v="953.08"/>
    <n v="5"/>
    <x v="1"/>
  </r>
  <r>
    <n v="10493"/>
    <x v="126"/>
    <s v="Arjun"/>
    <s v="Lucknow"/>
    <x v="2"/>
    <s v="Marker"/>
    <n v="4"/>
    <n v="859.44"/>
    <n v="15"/>
    <x v="1"/>
  </r>
  <r>
    <n v="10494"/>
    <x v="239"/>
    <s v="Anaya"/>
    <s v="Mumbai"/>
    <x v="2"/>
    <s v="Marker"/>
    <n v="15"/>
    <n v="4903.68"/>
    <n v="15"/>
    <x v="2"/>
  </r>
  <r>
    <n v="10495"/>
    <x v="194"/>
    <s v="Aarav"/>
    <s v="Chennai"/>
    <x v="2"/>
    <s v="Notebook"/>
    <n v="2"/>
    <n v="270.23"/>
    <n v="5"/>
    <x v="1"/>
  </r>
  <r>
    <n v="10496"/>
    <x v="272"/>
    <s v="Arjun"/>
    <s v="Patna"/>
    <x v="2"/>
    <s v="Notebook"/>
    <n v="9"/>
    <n v="1500.28"/>
    <n v="15"/>
    <x v="4"/>
  </r>
  <r>
    <n v="10497"/>
    <x v="153"/>
    <s v="Anaya"/>
    <s v="Pune"/>
    <x v="1"/>
    <s v="SSD"/>
    <n v="6"/>
    <n v="4798.87"/>
    <n v="10"/>
    <x v="1"/>
  </r>
  <r>
    <n v="10498"/>
    <x v="191"/>
    <s v="Neha"/>
    <s v="Lucknow"/>
    <x v="3"/>
    <s v="Chair"/>
    <n v="12"/>
    <n v="3139.27"/>
    <n v="10"/>
    <x v="0"/>
  </r>
  <r>
    <n v="10499"/>
    <x v="273"/>
    <s v="Aarav"/>
    <s v="Bhopal"/>
    <x v="2"/>
    <s v="Notebook"/>
    <n v="13"/>
    <n v="3212.3"/>
    <n v="5"/>
    <x v="2"/>
  </r>
  <r>
    <n v="10500"/>
    <x v="223"/>
    <s v="Kabir"/>
    <s v="Indore"/>
    <x v="1"/>
    <s v="Mouse"/>
    <n v="6"/>
    <n v="1258.08"/>
    <n v="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1"/>
    <x v="0"/>
    <s v="Meera"/>
    <x v="0"/>
    <x v="0"/>
    <s v="Rice"/>
    <n v="13"/>
    <n v="1544.73"/>
    <n v="15"/>
    <x v="0"/>
    <n v="20081.490000000002"/>
    <n v="17069.266500000002"/>
  </r>
  <r>
    <n v="10002"/>
    <x v="1"/>
    <s v="Diya"/>
    <x v="1"/>
    <x v="1"/>
    <s v="Mouse"/>
    <n v="20"/>
    <n v="1583.87"/>
    <n v="5"/>
    <x v="1"/>
    <n v="31677.399999999998"/>
    <n v="30093.53"/>
  </r>
  <r>
    <n v="10003"/>
    <x v="2"/>
    <s v="Neha"/>
    <x v="2"/>
    <x v="0"/>
    <s v="Coffee"/>
    <n v="17"/>
    <n v="4228.53"/>
    <n v="20"/>
    <x v="2"/>
    <n v="71885.009999999995"/>
    <n v="57508.007999999994"/>
  </r>
  <r>
    <n v="10004"/>
    <x v="3"/>
    <s v="Priya"/>
    <x v="3"/>
    <x v="0"/>
    <s v="Coffee"/>
    <n v="6"/>
    <n v="1965.31"/>
    <n v="15"/>
    <x v="3"/>
    <n v="11791.86"/>
    <n v="10023.081"/>
  </r>
  <r>
    <n v="10005"/>
    <x v="4"/>
    <s v="Sneha"/>
    <x v="3"/>
    <x v="1"/>
    <s v="Monitor"/>
    <n v="1"/>
    <n v="4661.57"/>
    <n v="10"/>
    <x v="0"/>
    <n v="4661.57"/>
    <n v="4195.4129999999996"/>
  </r>
  <r>
    <n v="10006"/>
    <x v="5"/>
    <s v="Diya"/>
    <x v="4"/>
    <x v="1"/>
    <s v="Monitor"/>
    <n v="9"/>
    <n v="4775.83"/>
    <n v="20"/>
    <x v="4"/>
    <n v="42982.47"/>
    <n v="34385.976000000002"/>
  </r>
  <r>
    <n v="10007"/>
    <x v="6"/>
    <s v="Arjun"/>
    <x v="3"/>
    <x v="1"/>
    <s v="Mouse"/>
    <n v="10"/>
    <n v="2195"/>
    <n v="5"/>
    <x v="4"/>
    <n v="21950"/>
    <n v="20852.5"/>
  </r>
  <r>
    <n v="10008"/>
    <x v="7"/>
    <s v="Vihaan"/>
    <x v="1"/>
    <x v="0"/>
    <s v="Tea"/>
    <n v="3"/>
    <n v="1341.02"/>
    <n v="0"/>
    <x v="0"/>
    <n v="4023.06"/>
    <n v="4023.06"/>
  </r>
  <r>
    <n v="10009"/>
    <x v="8"/>
    <s v="Diya"/>
    <x v="2"/>
    <x v="2"/>
    <s v="Pen"/>
    <n v="5"/>
    <n v="3049.83"/>
    <n v="0"/>
    <x v="0"/>
    <n v="15249.15"/>
    <n v="15249.15"/>
  </r>
  <r>
    <n v="10010"/>
    <x v="9"/>
    <s v="Meera"/>
    <x v="4"/>
    <x v="1"/>
    <s v="Keyboard"/>
    <n v="3"/>
    <n v="4281.4799999999996"/>
    <n v="10"/>
    <x v="4"/>
    <n v="12844.439999999999"/>
    <n v="11559.995999999999"/>
  </r>
  <r>
    <n v="10011"/>
    <x v="10"/>
    <s v="Meera"/>
    <x v="5"/>
    <x v="2"/>
    <s v="Notebook"/>
    <n v="9"/>
    <n v="3933.1"/>
    <n v="20"/>
    <x v="4"/>
    <n v="35397.9"/>
    <n v="28318.32"/>
  </r>
  <r>
    <n v="10012"/>
    <x v="11"/>
    <s v="Neha"/>
    <x v="5"/>
    <x v="1"/>
    <s v="Keyboard"/>
    <n v="16"/>
    <n v="1934.04"/>
    <n v="5"/>
    <x v="0"/>
    <n v="30944.639999999999"/>
    <n v="29397.407999999999"/>
  </r>
  <r>
    <n v="10013"/>
    <x v="12"/>
    <s v="Aarav"/>
    <x v="1"/>
    <x v="3"/>
    <s v="Desk"/>
    <n v="17"/>
    <n v="3573.48"/>
    <n v="20"/>
    <x v="3"/>
    <n v="60749.16"/>
    <n v="48599.328000000001"/>
  </r>
  <r>
    <n v="10014"/>
    <x v="13"/>
    <s v="Ishaan"/>
    <x v="3"/>
    <x v="0"/>
    <s v="Coffee"/>
    <n v="2"/>
    <n v="4119.25"/>
    <n v="20"/>
    <x v="2"/>
    <n v="8238.5"/>
    <n v="6590.8"/>
  </r>
  <r>
    <n v="10015"/>
    <x v="14"/>
    <s v="Anaya"/>
    <x v="0"/>
    <x v="2"/>
    <s v="Notebook"/>
    <n v="12"/>
    <n v="3746.44"/>
    <n v="20"/>
    <x v="1"/>
    <n v="44957.279999999999"/>
    <n v="35965.824000000001"/>
  </r>
  <r>
    <n v="10016"/>
    <x v="15"/>
    <s v="Anaya"/>
    <x v="5"/>
    <x v="0"/>
    <s v="Tea"/>
    <n v="20"/>
    <n v="1527.48"/>
    <n v="20"/>
    <x v="4"/>
    <n v="30549.599999999999"/>
    <n v="24439.68"/>
  </r>
  <r>
    <n v="10017"/>
    <x v="16"/>
    <s v="Neha"/>
    <x v="0"/>
    <x v="2"/>
    <s v="Marker"/>
    <n v="19"/>
    <n v="4994.29"/>
    <n v="15"/>
    <x v="1"/>
    <n v="94891.51"/>
    <n v="80657.78349999999"/>
  </r>
  <r>
    <n v="10018"/>
    <x v="17"/>
    <s v="Meera"/>
    <x v="2"/>
    <x v="0"/>
    <s v="Coffee"/>
    <n v="14"/>
    <n v="2289.5700000000002"/>
    <n v="20"/>
    <x v="2"/>
    <n v="32053.980000000003"/>
    <n v="25643.184000000001"/>
  </r>
  <r>
    <n v="10019"/>
    <x v="18"/>
    <s v="Vihaan"/>
    <x v="6"/>
    <x v="3"/>
    <s v="Cabinet"/>
    <n v="13"/>
    <n v="2094.8200000000002"/>
    <n v="15"/>
    <x v="3"/>
    <n v="27232.660000000003"/>
    <n v="23147.761000000002"/>
  </r>
  <r>
    <n v="10020"/>
    <x v="5"/>
    <s v="Diya"/>
    <x v="7"/>
    <x v="1"/>
    <s v="Mouse"/>
    <n v="12"/>
    <n v="2786.09"/>
    <n v="15"/>
    <x v="3"/>
    <n v="33433.08"/>
    <n v="28418.118000000002"/>
  </r>
  <r>
    <n v="10021"/>
    <x v="19"/>
    <s v="Neha"/>
    <x v="6"/>
    <x v="2"/>
    <s v="Pen"/>
    <n v="18"/>
    <n v="4654.1499999999996"/>
    <n v="20"/>
    <x v="4"/>
    <n v="83774.7"/>
    <n v="67019.759999999995"/>
  </r>
  <r>
    <n v="10022"/>
    <x v="20"/>
    <s v="Kabir"/>
    <x v="2"/>
    <x v="3"/>
    <s v="Table"/>
    <n v="18"/>
    <n v="173.08"/>
    <n v="0"/>
    <x v="2"/>
    <n v="3115.44"/>
    <n v="3115.44"/>
  </r>
  <r>
    <n v="10023"/>
    <x v="21"/>
    <s v="Kabir"/>
    <x v="2"/>
    <x v="2"/>
    <s v="Stapler"/>
    <n v="11"/>
    <n v="1761.18"/>
    <n v="10"/>
    <x v="4"/>
    <n v="19372.98"/>
    <n v="17435.682000000001"/>
  </r>
  <r>
    <n v="10024"/>
    <x v="22"/>
    <s v="Vihaan"/>
    <x v="4"/>
    <x v="1"/>
    <s v="Mouse"/>
    <n v="18"/>
    <n v="733.78"/>
    <n v="5"/>
    <x v="0"/>
    <n v="13208.039999999999"/>
    <n v="12547.637999999999"/>
  </r>
  <r>
    <n v="10025"/>
    <x v="23"/>
    <s v="Meera"/>
    <x v="4"/>
    <x v="3"/>
    <s v="Desk"/>
    <n v="17"/>
    <n v="1312.74"/>
    <n v="10"/>
    <x v="1"/>
    <n v="22316.58"/>
    <n v="20084.922000000002"/>
  </r>
  <r>
    <n v="10026"/>
    <x v="24"/>
    <s v="Arjun"/>
    <x v="1"/>
    <x v="2"/>
    <s v="Notebook"/>
    <n v="20"/>
    <n v="2066.4899999999998"/>
    <n v="15"/>
    <x v="1"/>
    <n v="41329.799999999996"/>
    <n v="35130.329999999994"/>
  </r>
  <r>
    <n v="10027"/>
    <x v="25"/>
    <s v="Vihaan"/>
    <x v="5"/>
    <x v="2"/>
    <s v="Stapler"/>
    <n v="20"/>
    <n v="418.14"/>
    <n v="15"/>
    <x v="4"/>
    <n v="8362.7999999999993"/>
    <n v="7108.3799999999992"/>
  </r>
  <r>
    <n v="10028"/>
    <x v="26"/>
    <s v="Neha"/>
    <x v="7"/>
    <x v="2"/>
    <s v="Stapler"/>
    <n v="12"/>
    <n v="4542.32"/>
    <n v="0"/>
    <x v="4"/>
    <n v="54507.839999999997"/>
    <n v="54507.839999999997"/>
  </r>
  <r>
    <n v="10029"/>
    <x v="27"/>
    <s v="Meera"/>
    <x v="0"/>
    <x v="3"/>
    <s v="Cabinet"/>
    <n v="3"/>
    <n v="2580.2399999999998"/>
    <n v="15"/>
    <x v="1"/>
    <n v="7740.7199999999993"/>
    <n v="6579.6119999999992"/>
  </r>
  <r>
    <n v="10030"/>
    <x v="28"/>
    <s v="Diya"/>
    <x v="8"/>
    <x v="2"/>
    <s v="Marker"/>
    <n v="19"/>
    <n v="3437.64"/>
    <n v="20"/>
    <x v="3"/>
    <n v="65315.159999999996"/>
    <n v="52252.127999999997"/>
  </r>
  <r>
    <n v="10031"/>
    <x v="29"/>
    <s v="Arjun"/>
    <x v="5"/>
    <x v="2"/>
    <s v="Stapler"/>
    <n v="4"/>
    <n v="434.33"/>
    <n v="5"/>
    <x v="3"/>
    <n v="1737.32"/>
    <n v="1650.454"/>
  </r>
  <r>
    <n v="10032"/>
    <x v="30"/>
    <s v="Priya"/>
    <x v="9"/>
    <x v="3"/>
    <s v="Table"/>
    <n v="4"/>
    <n v="337.59"/>
    <n v="15"/>
    <x v="2"/>
    <n v="1350.36"/>
    <n v="1147.806"/>
  </r>
  <r>
    <n v="10033"/>
    <x v="31"/>
    <s v="Sneha"/>
    <x v="4"/>
    <x v="1"/>
    <s v="Keyboard"/>
    <n v="5"/>
    <n v="3902.93"/>
    <n v="5"/>
    <x v="2"/>
    <n v="19514.649999999998"/>
    <n v="18538.9175"/>
  </r>
  <r>
    <n v="10034"/>
    <x v="32"/>
    <s v="Diya"/>
    <x v="5"/>
    <x v="2"/>
    <s v="Marker"/>
    <n v="14"/>
    <n v="1509.22"/>
    <n v="5"/>
    <x v="1"/>
    <n v="21129.08"/>
    <n v="20072.626"/>
  </r>
  <r>
    <n v="10035"/>
    <x v="33"/>
    <s v="Aarav"/>
    <x v="6"/>
    <x v="2"/>
    <s v="Pen"/>
    <n v="17"/>
    <n v="1591.6"/>
    <n v="15"/>
    <x v="1"/>
    <n v="27057.199999999997"/>
    <n v="22998.62"/>
  </r>
  <r>
    <n v="10036"/>
    <x v="34"/>
    <s v="Vihaan"/>
    <x v="3"/>
    <x v="0"/>
    <s v="Tea"/>
    <n v="20"/>
    <n v="3357.81"/>
    <n v="10"/>
    <x v="3"/>
    <n v="67156.2"/>
    <n v="60440.579999999994"/>
  </r>
  <r>
    <n v="10037"/>
    <x v="35"/>
    <s v="Meera"/>
    <x v="9"/>
    <x v="1"/>
    <s v="Monitor"/>
    <n v="6"/>
    <n v="1861.79"/>
    <n v="15"/>
    <x v="3"/>
    <n v="11170.74"/>
    <n v="9495.128999999999"/>
  </r>
  <r>
    <n v="10038"/>
    <x v="36"/>
    <s v="Vihaan"/>
    <x v="5"/>
    <x v="3"/>
    <s v="Chair"/>
    <n v="5"/>
    <n v="572.41"/>
    <n v="20"/>
    <x v="4"/>
    <n v="2862.0499999999997"/>
    <n v="2289.64"/>
  </r>
  <r>
    <n v="10039"/>
    <x v="37"/>
    <s v="Diya"/>
    <x v="7"/>
    <x v="3"/>
    <s v="Desk"/>
    <n v="20"/>
    <n v="4485.22"/>
    <n v="0"/>
    <x v="4"/>
    <n v="89704.400000000009"/>
    <n v="89704.400000000009"/>
  </r>
  <r>
    <n v="10040"/>
    <x v="34"/>
    <s v="Anaya"/>
    <x v="0"/>
    <x v="0"/>
    <s v="Tea"/>
    <n v="4"/>
    <n v="1993.86"/>
    <n v="10"/>
    <x v="2"/>
    <n v="7975.44"/>
    <n v="7177.8959999999997"/>
  </r>
  <r>
    <n v="10041"/>
    <x v="38"/>
    <s v="Kabir"/>
    <x v="5"/>
    <x v="3"/>
    <s v="Chair"/>
    <n v="9"/>
    <n v="4037.39"/>
    <n v="20"/>
    <x v="3"/>
    <n v="36336.51"/>
    <n v="29069.208000000002"/>
  </r>
  <r>
    <n v="10042"/>
    <x v="39"/>
    <s v="Arjun"/>
    <x v="2"/>
    <x v="2"/>
    <s v="Stapler"/>
    <n v="14"/>
    <n v="274.37"/>
    <n v="0"/>
    <x v="2"/>
    <n v="3841.1800000000003"/>
    <n v="3841.1800000000003"/>
  </r>
  <r>
    <n v="10043"/>
    <x v="40"/>
    <s v="Meera"/>
    <x v="3"/>
    <x v="2"/>
    <s v="Marker"/>
    <n v="9"/>
    <n v="676.19"/>
    <n v="20"/>
    <x v="4"/>
    <n v="6085.7100000000009"/>
    <n v="4868.5680000000011"/>
  </r>
  <r>
    <n v="10044"/>
    <x v="41"/>
    <s v="Sneha"/>
    <x v="5"/>
    <x v="1"/>
    <s v="Monitor"/>
    <n v="4"/>
    <n v="4588.93"/>
    <n v="5"/>
    <x v="3"/>
    <n v="18355.72"/>
    <n v="17437.934000000001"/>
  </r>
  <r>
    <n v="10045"/>
    <x v="37"/>
    <s v="Ishaan"/>
    <x v="1"/>
    <x v="0"/>
    <s v="Tea"/>
    <n v="2"/>
    <n v="2343.98"/>
    <n v="20"/>
    <x v="2"/>
    <n v="4687.96"/>
    <n v="3750.3679999999999"/>
  </r>
  <r>
    <n v="10046"/>
    <x v="42"/>
    <s v="Arjun"/>
    <x v="4"/>
    <x v="3"/>
    <s v="Desk"/>
    <n v="10"/>
    <n v="1534.77"/>
    <n v="15"/>
    <x v="4"/>
    <n v="15347.7"/>
    <n v="13045.545"/>
  </r>
  <r>
    <n v="10047"/>
    <x v="43"/>
    <s v="Sneha"/>
    <x v="5"/>
    <x v="2"/>
    <s v="Notebook"/>
    <n v="8"/>
    <n v="542.69000000000005"/>
    <n v="15"/>
    <x v="2"/>
    <n v="4341.5200000000004"/>
    <n v="3690.2920000000004"/>
  </r>
  <r>
    <n v="10048"/>
    <x v="44"/>
    <s v="Kabir"/>
    <x v="7"/>
    <x v="0"/>
    <s v="Coffee"/>
    <n v="10"/>
    <n v="2706.3"/>
    <n v="5"/>
    <x v="3"/>
    <n v="27063"/>
    <n v="25709.85"/>
  </r>
  <r>
    <n v="10049"/>
    <x v="45"/>
    <s v="Diya"/>
    <x v="9"/>
    <x v="1"/>
    <s v="Monitor"/>
    <n v="15"/>
    <n v="2648.86"/>
    <n v="5"/>
    <x v="0"/>
    <n v="39732.9"/>
    <n v="37746.255000000005"/>
  </r>
  <r>
    <n v="10050"/>
    <x v="46"/>
    <s v="Arjun"/>
    <x v="3"/>
    <x v="1"/>
    <s v="Monitor"/>
    <n v="12"/>
    <n v="1541.59"/>
    <n v="0"/>
    <x v="3"/>
    <n v="18499.079999999998"/>
    <n v="18499.079999999998"/>
  </r>
  <r>
    <n v="10051"/>
    <x v="47"/>
    <s v="Aarav"/>
    <x v="0"/>
    <x v="3"/>
    <s v="Chair"/>
    <n v="11"/>
    <n v="3051.48"/>
    <n v="15"/>
    <x v="4"/>
    <n v="33566.28"/>
    <n v="28531.338"/>
  </r>
  <r>
    <n v="10052"/>
    <x v="48"/>
    <s v="Rohan"/>
    <x v="0"/>
    <x v="0"/>
    <s v="Coffee"/>
    <n v="2"/>
    <n v="3611.78"/>
    <n v="15"/>
    <x v="0"/>
    <n v="7223.56"/>
    <n v="6140.0259999999998"/>
  </r>
  <r>
    <n v="10053"/>
    <x v="49"/>
    <s v="Rohan"/>
    <x v="2"/>
    <x v="1"/>
    <s v="Mouse"/>
    <n v="15"/>
    <n v="2589.92"/>
    <n v="0"/>
    <x v="2"/>
    <n v="38848.800000000003"/>
    <n v="38848.800000000003"/>
  </r>
  <r>
    <n v="10054"/>
    <x v="50"/>
    <s v="Sneha"/>
    <x v="8"/>
    <x v="3"/>
    <s v="Desk"/>
    <n v="13"/>
    <n v="2589.94"/>
    <n v="0"/>
    <x v="1"/>
    <n v="33669.22"/>
    <n v="33669.22"/>
  </r>
  <r>
    <n v="10055"/>
    <x v="51"/>
    <s v="Anaya"/>
    <x v="0"/>
    <x v="2"/>
    <s v="Pen"/>
    <n v="12"/>
    <n v="170.4"/>
    <n v="10"/>
    <x v="1"/>
    <n v="2044.8000000000002"/>
    <n v="1840.3200000000002"/>
  </r>
  <r>
    <n v="10056"/>
    <x v="52"/>
    <s v="Ishaan"/>
    <x v="5"/>
    <x v="3"/>
    <s v="Table"/>
    <n v="14"/>
    <n v="2075.6799999999998"/>
    <n v="20"/>
    <x v="4"/>
    <n v="29059.519999999997"/>
    <n v="23247.615999999998"/>
  </r>
  <r>
    <n v="10057"/>
    <x v="53"/>
    <s v="Rohan"/>
    <x v="6"/>
    <x v="1"/>
    <s v="SSD"/>
    <n v="10"/>
    <n v="4128.8100000000004"/>
    <n v="20"/>
    <x v="1"/>
    <n v="41288.100000000006"/>
    <n v="33030.480000000003"/>
  </r>
  <r>
    <n v="10058"/>
    <x v="54"/>
    <s v="Priya"/>
    <x v="1"/>
    <x v="0"/>
    <s v="Coffee"/>
    <n v="19"/>
    <n v="4232.67"/>
    <n v="10"/>
    <x v="3"/>
    <n v="80420.73"/>
    <n v="72378.656999999992"/>
  </r>
  <r>
    <n v="10059"/>
    <x v="35"/>
    <s v="Rohan"/>
    <x v="4"/>
    <x v="2"/>
    <s v="Stapler"/>
    <n v="12"/>
    <n v="4662.53"/>
    <n v="0"/>
    <x v="0"/>
    <n v="55950.36"/>
    <n v="55950.36"/>
  </r>
  <r>
    <n v="10060"/>
    <x v="55"/>
    <s v="Kabir"/>
    <x v="8"/>
    <x v="1"/>
    <s v="SSD"/>
    <n v="20"/>
    <n v="869.66"/>
    <n v="0"/>
    <x v="1"/>
    <n v="17393.2"/>
    <n v="17393.2"/>
  </r>
  <r>
    <n v="10061"/>
    <x v="56"/>
    <s v="Kabir"/>
    <x v="5"/>
    <x v="1"/>
    <s v="Mouse"/>
    <n v="17"/>
    <n v="3611.8"/>
    <n v="15"/>
    <x v="3"/>
    <n v="61400.600000000006"/>
    <n v="52190.51"/>
  </r>
  <r>
    <n v="10062"/>
    <x v="57"/>
    <s v="Arjun"/>
    <x v="3"/>
    <x v="1"/>
    <s v="Mouse"/>
    <n v="18"/>
    <n v="2392.34"/>
    <n v="5"/>
    <x v="2"/>
    <n v="43062.12"/>
    <n v="40909.014000000003"/>
  </r>
  <r>
    <n v="10063"/>
    <x v="58"/>
    <s v="Anaya"/>
    <x v="6"/>
    <x v="0"/>
    <s v="Coffee"/>
    <n v="16"/>
    <n v="2111.33"/>
    <n v="10"/>
    <x v="4"/>
    <n v="33781.279999999999"/>
    <n v="30403.151999999998"/>
  </r>
  <r>
    <n v="10064"/>
    <x v="59"/>
    <s v="Sneha"/>
    <x v="4"/>
    <x v="1"/>
    <s v="SSD"/>
    <n v="7"/>
    <n v="938.38"/>
    <n v="20"/>
    <x v="2"/>
    <n v="6568.66"/>
    <n v="5254.9279999999999"/>
  </r>
  <r>
    <n v="10065"/>
    <x v="60"/>
    <s v="Vihaan"/>
    <x v="5"/>
    <x v="0"/>
    <s v="Coffee"/>
    <n v="17"/>
    <n v="4449.18"/>
    <n v="0"/>
    <x v="4"/>
    <n v="75636.06"/>
    <n v="75636.06"/>
  </r>
  <r>
    <n v="10066"/>
    <x v="61"/>
    <s v="Ishaan"/>
    <x v="1"/>
    <x v="0"/>
    <s v="Coffee"/>
    <n v="5"/>
    <n v="1209.05"/>
    <n v="5"/>
    <x v="4"/>
    <n v="6045.25"/>
    <n v="5742.9875000000002"/>
  </r>
  <r>
    <n v="10067"/>
    <x v="62"/>
    <s v="Meera"/>
    <x v="5"/>
    <x v="0"/>
    <s v="Coffee"/>
    <n v="19"/>
    <n v="900.11"/>
    <n v="10"/>
    <x v="2"/>
    <n v="17102.09"/>
    <n v="15391.881000000001"/>
  </r>
  <r>
    <n v="10068"/>
    <x v="63"/>
    <s v="Neha"/>
    <x v="9"/>
    <x v="2"/>
    <s v="Stapler"/>
    <n v="13"/>
    <n v="4048.21"/>
    <n v="15"/>
    <x v="0"/>
    <n v="52626.73"/>
    <n v="44732.720500000003"/>
  </r>
  <r>
    <n v="10069"/>
    <x v="64"/>
    <s v="Meera"/>
    <x v="7"/>
    <x v="2"/>
    <s v="Pen"/>
    <n v="1"/>
    <n v="4884.6000000000004"/>
    <n v="0"/>
    <x v="2"/>
    <n v="4884.6000000000004"/>
    <n v="4884.6000000000004"/>
  </r>
  <r>
    <n v="10070"/>
    <x v="65"/>
    <s v="Neha"/>
    <x v="4"/>
    <x v="1"/>
    <s v="Mouse"/>
    <n v="14"/>
    <n v="1720.3"/>
    <n v="0"/>
    <x v="4"/>
    <n v="24084.2"/>
    <n v="24084.2"/>
  </r>
  <r>
    <n v="10071"/>
    <x v="66"/>
    <s v="Anaya"/>
    <x v="2"/>
    <x v="0"/>
    <s v="Sugar"/>
    <n v="14"/>
    <n v="2083.37"/>
    <n v="15"/>
    <x v="3"/>
    <n v="29167.18"/>
    <n v="24792.102999999999"/>
  </r>
  <r>
    <n v="10072"/>
    <x v="54"/>
    <s v="Rohan"/>
    <x v="8"/>
    <x v="2"/>
    <s v="Stapler"/>
    <n v="19"/>
    <n v="3358.24"/>
    <n v="20"/>
    <x v="1"/>
    <n v="63806.559999999998"/>
    <n v="51045.248"/>
  </r>
  <r>
    <n v="10073"/>
    <x v="67"/>
    <s v="Priya"/>
    <x v="6"/>
    <x v="0"/>
    <s v="Coffee"/>
    <n v="12"/>
    <n v="3007.31"/>
    <n v="5"/>
    <x v="3"/>
    <n v="36087.72"/>
    <n v="34283.334000000003"/>
  </r>
  <r>
    <n v="10074"/>
    <x v="68"/>
    <s v="Kabir"/>
    <x v="8"/>
    <x v="2"/>
    <s v="Notebook"/>
    <n v="14"/>
    <n v="3121.47"/>
    <n v="15"/>
    <x v="0"/>
    <n v="43700.579999999994"/>
    <n v="37145.492999999995"/>
  </r>
  <r>
    <n v="10075"/>
    <x v="69"/>
    <s v="Vihaan"/>
    <x v="7"/>
    <x v="3"/>
    <s v="Cabinet"/>
    <n v="15"/>
    <n v="1613.45"/>
    <n v="0"/>
    <x v="3"/>
    <n v="24201.75"/>
    <n v="24201.75"/>
  </r>
  <r>
    <n v="10076"/>
    <x v="70"/>
    <s v="Priya"/>
    <x v="5"/>
    <x v="2"/>
    <s v="Stapler"/>
    <n v="14"/>
    <n v="2260.96"/>
    <n v="15"/>
    <x v="0"/>
    <n v="31653.440000000002"/>
    <n v="26905.424000000003"/>
  </r>
  <r>
    <n v="10077"/>
    <x v="71"/>
    <s v="Priya"/>
    <x v="4"/>
    <x v="0"/>
    <s v="Tea"/>
    <n v="12"/>
    <n v="470.29"/>
    <n v="5"/>
    <x v="2"/>
    <n v="5643.4800000000005"/>
    <n v="5361.3060000000005"/>
  </r>
  <r>
    <n v="10078"/>
    <x v="72"/>
    <s v="Diya"/>
    <x v="1"/>
    <x v="0"/>
    <s v="Tea"/>
    <n v="11"/>
    <n v="3478.14"/>
    <n v="5"/>
    <x v="0"/>
    <n v="38259.54"/>
    <n v="36346.563000000002"/>
  </r>
  <r>
    <n v="10079"/>
    <x v="40"/>
    <s v="Neha"/>
    <x v="9"/>
    <x v="2"/>
    <s v="Stapler"/>
    <n v="19"/>
    <n v="240.9"/>
    <n v="5"/>
    <x v="0"/>
    <n v="4577.1000000000004"/>
    <n v="4348.2450000000008"/>
  </r>
  <r>
    <n v="10080"/>
    <x v="61"/>
    <s v="Anaya"/>
    <x v="9"/>
    <x v="3"/>
    <s v="Desk"/>
    <n v="3"/>
    <n v="1240.44"/>
    <n v="0"/>
    <x v="4"/>
    <n v="3721.32"/>
    <n v="3721.32"/>
  </r>
  <r>
    <n v="10081"/>
    <x v="73"/>
    <s v="Arjun"/>
    <x v="5"/>
    <x v="1"/>
    <s v="Keyboard"/>
    <n v="16"/>
    <n v="3466.49"/>
    <n v="15"/>
    <x v="2"/>
    <n v="55463.839999999997"/>
    <n v="47144.263999999996"/>
  </r>
  <r>
    <n v="10082"/>
    <x v="74"/>
    <s v="Kabir"/>
    <x v="5"/>
    <x v="1"/>
    <s v="Mouse"/>
    <n v="6"/>
    <n v="2915.15"/>
    <n v="0"/>
    <x v="1"/>
    <n v="17490.900000000001"/>
    <n v="17490.900000000001"/>
  </r>
  <r>
    <n v="10083"/>
    <x v="75"/>
    <s v="Diya"/>
    <x v="4"/>
    <x v="1"/>
    <s v="SSD"/>
    <n v="3"/>
    <n v="1602.24"/>
    <n v="5"/>
    <x v="2"/>
    <n v="4806.72"/>
    <n v="4566.384"/>
  </r>
  <r>
    <n v="10084"/>
    <x v="76"/>
    <s v="Priya"/>
    <x v="9"/>
    <x v="3"/>
    <s v="Chair"/>
    <n v="4"/>
    <n v="3464.11"/>
    <n v="15"/>
    <x v="0"/>
    <n v="13856.44"/>
    <n v="11777.974"/>
  </r>
  <r>
    <n v="10085"/>
    <x v="77"/>
    <s v="Rohan"/>
    <x v="5"/>
    <x v="3"/>
    <s v="Desk"/>
    <n v="5"/>
    <n v="4550.18"/>
    <n v="0"/>
    <x v="2"/>
    <n v="22750.9"/>
    <n v="22750.9"/>
  </r>
  <r>
    <n v="10086"/>
    <x v="78"/>
    <s v="Arjun"/>
    <x v="5"/>
    <x v="2"/>
    <s v="Marker"/>
    <n v="19"/>
    <n v="766.59"/>
    <n v="15"/>
    <x v="1"/>
    <n v="14565.210000000001"/>
    <n v="12380.428500000002"/>
  </r>
  <r>
    <n v="10087"/>
    <x v="79"/>
    <s v="Diya"/>
    <x v="3"/>
    <x v="3"/>
    <s v="Chair"/>
    <n v="6"/>
    <n v="4110.67"/>
    <n v="10"/>
    <x v="2"/>
    <n v="24664.02"/>
    <n v="22197.618000000002"/>
  </r>
  <r>
    <n v="10088"/>
    <x v="17"/>
    <s v="Neha"/>
    <x v="4"/>
    <x v="1"/>
    <s v="Keyboard"/>
    <n v="3"/>
    <n v="105.46"/>
    <n v="5"/>
    <x v="1"/>
    <n v="316.38"/>
    <n v="300.56099999999998"/>
  </r>
  <r>
    <n v="10089"/>
    <x v="80"/>
    <s v="Anaya"/>
    <x v="2"/>
    <x v="1"/>
    <s v="Monitor"/>
    <n v="5"/>
    <n v="2378.4499999999998"/>
    <n v="20"/>
    <x v="0"/>
    <n v="11892.25"/>
    <n v="9513.7999999999993"/>
  </r>
  <r>
    <n v="10090"/>
    <x v="81"/>
    <s v="Ishaan"/>
    <x v="3"/>
    <x v="1"/>
    <s v="Mouse"/>
    <n v="11"/>
    <n v="666.46"/>
    <n v="20"/>
    <x v="3"/>
    <n v="7331.06"/>
    <n v="5864.848"/>
  </r>
  <r>
    <n v="10091"/>
    <x v="82"/>
    <s v="Rohan"/>
    <x v="3"/>
    <x v="1"/>
    <s v="Keyboard"/>
    <n v="2"/>
    <n v="791.73"/>
    <n v="10"/>
    <x v="2"/>
    <n v="1583.46"/>
    <n v="1425.114"/>
  </r>
  <r>
    <n v="10092"/>
    <x v="83"/>
    <s v="Rohan"/>
    <x v="5"/>
    <x v="0"/>
    <s v="Coffee"/>
    <n v="2"/>
    <n v="428.44"/>
    <n v="10"/>
    <x v="2"/>
    <n v="856.88"/>
    <n v="771.19200000000001"/>
  </r>
  <r>
    <n v="10093"/>
    <x v="84"/>
    <s v="Anaya"/>
    <x v="7"/>
    <x v="3"/>
    <s v="Cabinet"/>
    <n v="6"/>
    <n v="979.08"/>
    <n v="15"/>
    <x v="2"/>
    <n v="5874.4800000000005"/>
    <n v="4993.308"/>
  </r>
  <r>
    <n v="10094"/>
    <x v="85"/>
    <s v="Ishaan"/>
    <x v="0"/>
    <x v="0"/>
    <s v="Tea"/>
    <n v="12"/>
    <n v="1671.13"/>
    <n v="5"/>
    <x v="0"/>
    <n v="20053.560000000001"/>
    <n v="19050.882000000001"/>
  </r>
  <r>
    <n v="10095"/>
    <x v="86"/>
    <s v="Kabir"/>
    <x v="3"/>
    <x v="1"/>
    <s v="Keyboard"/>
    <n v="4"/>
    <n v="4565.05"/>
    <n v="0"/>
    <x v="3"/>
    <n v="18260.2"/>
    <n v="18260.2"/>
  </r>
  <r>
    <n v="10096"/>
    <x v="74"/>
    <s v="Aarav"/>
    <x v="7"/>
    <x v="1"/>
    <s v="Keyboard"/>
    <n v="2"/>
    <n v="1109.28"/>
    <n v="20"/>
    <x v="2"/>
    <n v="2218.56"/>
    <n v="1774.848"/>
  </r>
  <r>
    <n v="10097"/>
    <x v="87"/>
    <s v="Aarav"/>
    <x v="8"/>
    <x v="2"/>
    <s v="Pen"/>
    <n v="11"/>
    <n v="3118.02"/>
    <n v="5"/>
    <x v="1"/>
    <n v="34298.22"/>
    <n v="32583.309000000001"/>
  </r>
  <r>
    <n v="10098"/>
    <x v="88"/>
    <s v="Vihaan"/>
    <x v="2"/>
    <x v="2"/>
    <s v="Stapler"/>
    <n v="9"/>
    <n v="2014.94"/>
    <n v="5"/>
    <x v="4"/>
    <n v="18134.46"/>
    <n v="17227.737000000001"/>
  </r>
  <r>
    <n v="10099"/>
    <x v="89"/>
    <s v="Neha"/>
    <x v="6"/>
    <x v="3"/>
    <s v="Desk"/>
    <n v="17"/>
    <n v="453.02"/>
    <n v="10"/>
    <x v="0"/>
    <n v="7701.34"/>
    <n v="6931.2060000000001"/>
  </r>
  <r>
    <n v="10100"/>
    <x v="90"/>
    <s v="Ishaan"/>
    <x v="8"/>
    <x v="2"/>
    <s v="Notebook"/>
    <n v="11"/>
    <n v="241.83"/>
    <n v="5"/>
    <x v="3"/>
    <n v="2660.13"/>
    <n v="2527.1235000000001"/>
  </r>
  <r>
    <n v="10101"/>
    <x v="91"/>
    <s v="Meera"/>
    <x v="4"/>
    <x v="2"/>
    <s v="Notebook"/>
    <n v="9"/>
    <n v="2571.46"/>
    <n v="15"/>
    <x v="4"/>
    <n v="23143.14"/>
    <n v="19671.669000000002"/>
  </r>
  <r>
    <n v="10102"/>
    <x v="92"/>
    <s v="Priya"/>
    <x v="1"/>
    <x v="3"/>
    <s v="Chair"/>
    <n v="1"/>
    <n v="1754.55"/>
    <n v="5"/>
    <x v="1"/>
    <n v="1754.55"/>
    <n v="1666.8225"/>
  </r>
  <r>
    <n v="10103"/>
    <x v="82"/>
    <s v="Anaya"/>
    <x v="6"/>
    <x v="2"/>
    <s v="Pen"/>
    <n v="20"/>
    <n v="2192.08"/>
    <n v="15"/>
    <x v="0"/>
    <n v="43841.599999999999"/>
    <n v="37265.360000000001"/>
  </r>
  <r>
    <n v="10104"/>
    <x v="25"/>
    <s v="Arjun"/>
    <x v="8"/>
    <x v="2"/>
    <s v="Pen"/>
    <n v="7"/>
    <n v="781.07"/>
    <n v="20"/>
    <x v="0"/>
    <n v="5467.4900000000007"/>
    <n v="4373.9920000000002"/>
  </r>
  <r>
    <n v="10105"/>
    <x v="93"/>
    <s v="Sneha"/>
    <x v="6"/>
    <x v="1"/>
    <s v="Monitor"/>
    <n v="7"/>
    <n v="3951.44"/>
    <n v="10"/>
    <x v="2"/>
    <n v="27660.080000000002"/>
    <n v="24894.072"/>
  </r>
  <r>
    <n v="10106"/>
    <x v="94"/>
    <s v="Ishaan"/>
    <x v="4"/>
    <x v="0"/>
    <s v="Sugar"/>
    <n v="19"/>
    <n v="471.44"/>
    <n v="10"/>
    <x v="2"/>
    <n v="8957.36"/>
    <n v="8061.6240000000007"/>
  </r>
  <r>
    <n v="10107"/>
    <x v="95"/>
    <s v="Neha"/>
    <x v="5"/>
    <x v="3"/>
    <s v="Cabinet"/>
    <n v="5"/>
    <n v="4851.87"/>
    <n v="15"/>
    <x v="0"/>
    <n v="24259.35"/>
    <n v="20620.447499999998"/>
  </r>
  <r>
    <n v="10108"/>
    <x v="96"/>
    <s v="Sneha"/>
    <x v="7"/>
    <x v="0"/>
    <s v="Rice"/>
    <n v="2"/>
    <n v="4057.49"/>
    <n v="10"/>
    <x v="2"/>
    <n v="8114.98"/>
    <n v="7303.482"/>
  </r>
  <r>
    <n v="10109"/>
    <x v="97"/>
    <s v="Arjun"/>
    <x v="8"/>
    <x v="2"/>
    <s v="Pen"/>
    <n v="16"/>
    <n v="2968.71"/>
    <n v="10"/>
    <x v="0"/>
    <n v="47499.360000000001"/>
    <n v="42749.423999999999"/>
  </r>
  <r>
    <n v="10110"/>
    <x v="98"/>
    <s v="Rohan"/>
    <x v="9"/>
    <x v="0"/>
    <s v="Tea"/>
    <n v="5"/>
    <n v="2739.88"/>
    <n v="5"/>
    <x v="1"/>
    <n v="13699.400000000001"/>
    <n v="13014.430000000002"/>
  </r>
  <r>
    <n v="10111"/>
    <x v="99"/>
    <s v="Rohan"/>
    <x v="1"/>
    <x v="3"/>
    <s v="Table"/>
    <n v="11"/>
    <n v="2903.32"/>
    <n v="10"/>
    <x v="2"/>
    <n v="31936.52"/>
    <n v="28742.868000000002"/>
  </r>
  <r>
    <n v="10112"/>
    <x v="100"/>
    <s v="Priya"/>
    <x v="3"/>
    <x v="0"/>
    <s v="Rice"/>
    <n v="20"/>
    <n v="288.17"/>
    <n v="10"/>
    <x v="1"/>
    <n v="5763.4000000000005"/>
    <n v="5187.0600000000004"/>
  </r>
  <r>
    <n v="10113"/>
    <x v="101"/>
    <s v="Diya"/>
    <x v="9"/>
    <x v="0"/>
    <s v="Coffee"/>
    <n v="16"/>
    <n v="4823.5200000000004"/>
    <n v="10"/>
    <x v="0"/>
    <n v="77176.320000000007"/>
    <n v="69458.688000000009"/>
  </r>
  <r>
    <n v="10114"/>
    <x v="102"/>
    <s v="Arjun"/>
    <x v="0"/>
    <x v="2"/>
    <s v="Notebook"/>
    <n v="19"/>
    <n v="4074.87"/>
    <n v="5"/>
    <x v="4"/>
    <n v="77422.53"/>
    <n v="73551.4035"/>
  </r>
  <r>
    <n v="10115"/>
    <x v="103"/>
    <s v="Diya"/>
    <x v="2"/>
    <x v="3"/>
    <s v="Chair"/>
    <n v="16"/>
    <n v="4030.93"/>
    <n v="10"/>
    <x v="2"/>
    <n v="64494.879999999997"/>
    <n v="58045.392"/>
  </r>
  <r>
    <n v="10116"/>
    <x v="104"/>
    <s v="Arjun"/>
    <x v="3"/>
    <x v="3"/>
    <s v="Desk"/>
    <n v="8"/>
    <n v="1683.97"/>
    <n v="15"/>
    <x v="1"/>
    <n v="13471.76"/>
    <n v="11450.996000000001"/>
  </r>
  <r>
    <n v="10117"/>
    <x v="105"/>
    <s v="Priya"/>
    <x v="2"/>
    <x v="0"/>
    <s v="Sugar"/>
    <n v="5"/>
    <n v="125.63"/>
    <n v="15"/>
    <x v="0"/>
    <n v="628.15"/>
    <n v="533.92750000000001"/>
  </r>
  <r>
    <n v="10118"/>
    <x v="38"/>
    <s v="Neha"/>
    <x v="6"/>
    <x v="0"/>
    <s v="Tea"/>
    <n v="3"/>
    <n v="2825.02"/>
    <n v="0"/>
    <x v="1"/>
    <n v="8475.06"/>
    <n v="8475.06"/>
  </r>
  <r>
    <n v="10119"/>
    <x v="106"/>
    <s v="Neha"/>
    <x v="1"/>
    <x v="3"/>
    <s v="Cabinet"/>
    <n v="11"/>
    <n v="1855.49"/>
    <n v="15"/>
    <x v="1"/>
    <n v="20410.39"/>
    <n v="17348.8315"/>
  </r>
  <r>
    <n v="10120"/>
    <x v="107"/>
    <s v="Diya"/>
    <x v="4"/>
    <x v="1"/>
    <s v="Keyboard"/>
    <n v="14"/>
    <n v="1299.1300000000001"/>
    <n v="15"/>
    <x v="1"/>
    <n v="18187.82"/>
    <n v="15459.647000000001"/>
  </r>
  <r>
    <n v="10121"/>
    <x v="108"/>
    <s v="Neha"/>
    <x v="6"/>
    <x v="3"/>
    <s v="Table"/>
    <n v="9"/>
    <n v="3166.78"/>
    <n v="20"/>
    <x v="2"/>
    <n v="28501.02"/>
    <n v="22800.815999999999"/>
  </r>
  <r>
    <n v="10122"/>
    <x v="98"/>
    <s v="Sneha"/>
    <x v="5"/>
    <x v="2"/>
    <s v="Marker"/>
    <n v="19"/>
    <n v="4797.83"/>
    <n v="0"/>
    <x v="1"/>
    <n v="91158.77"/>
    <n v="91158.77"/>
  </r>
  <r>
    <n v="10123"/>
    <x v="107"/>
    <s v="Diya"/>
    <x v="9"/>
    <x v="3"/>
    <s v="Chair"/>
    <n v="15"/>
    <n v="1636.15"/>
    <n v="15"/>
    <x v="2"/>
    <n v="24542.25"/>
    <n v="20860.912499999999"/>
  </r>
  <r>
    <n v="10124"/>
    <x v="109"/>
    <s v="Vihaan"/>
    <x v="9"/>
    <x v="0"/>
    <s v="Rice"/>
    <n v="12"/>
    <n v="2738.98"/>
    <n v="20"/>
    <x v="4"/>
    <n v="32867.760000000002"/>
    <n v="26294.208000000002"/>
  </r>
  <r>
    <n v="10125"/>
    <x v="110"/>
    <s v="Kabir"/>
    <x v="4"/>
    <x v="2"/>
    <s v="Marker"/>
    <n v="15"/>
    <n v="2230.9699999999998"/>
    <n v="10"/>
    <x v="4"/>
    <n v="33464.549999999996"/>
    <n v="30118.094999999998"/>
  </r>
  <r>
    <n v="10126"/>
    <x v="111"/>
    <s v="Aarav"/>
    <x v="3"/>
    <x v="3"/>
    <s v="Cabinet"/>
    <n v="18"/>
    <n v="1529"/>
    <n v="10"/>
    <x v="4"/>
    <n v="27522"/>
    <n v="24769.8"/>
  </r>
  <r>
    <n v="10127"/>
    <x v="112"/>
    <s v="Meera"/>
    <x v="6"/>
    <x v="0"/>
    <s v="Coffee"/>
    <n v="13"/>
    <n v="785.07"/>
    <n v="0"/>
    <x v="0"/>
    <n v="10205.91"/>
    <n v="10205.91"/>
  </r>
  <r>
    <n v="10128"/>
    <x v="113"/>
    <s v="Arjun"/>
    <x v="7"/>
    <x v="0"/>
    <s v="Coffee"/>
    <n v="3"/>
    <n v="1604.88"/>
    <n v="15"/>
    <x v="4"/>
    <n v="4814.6400000000003"/>
    <n v="4092.4440000000004"/>
  </r>
  <r>
    <n v="10129"/>
    <x v="114"/>
    <s v="Meera"/>
    <x v="7"/>
    <x v="1"/>
    <s v="Monitor"/>
    <n v="19"/>
    <n v="494.82"/>
    <n v="10"/>
    <x v="1"/>
    <n v="9401.58"/>
    <n v="8461.4220000000005"/>
  </r>
  <r>
    <n v="10130"/>
    <x v="33"/>
    <s v="Neha"/>
    <x v="6"/>
    <x v="0"/>
    <s v="Rice"/>
    <n v="20"/>
    <n v="3340.24"/>
    <n v="20"/>
    <x v="0"/>
    <n v="66804.799999999988"/>
    <n v="53443.839999999989"/>
  </r>
  <r>
    <n v="10131"/>
    <x v="67"/>
    <s v="Meera"/>
    <x v="2"/>
    <x v="3"/>
    <s v="Desk"/>
    <n v="2"/>
    <n v="2968.79"/>
    <n v="0"/>
    <x v="3"/>
    <n v="5937.58"/>
    <n v="5937.58"/>
  </r>
  <r>
    <n v="10132"/>
    <x v="115"/>
    <s v="Neha"/>
    <x v="1"/>
    <x v="1"/>
    <s v="Keyboard"/>
    <n v="15"/>
    <n v="3942.73"/>
    <n v="0"/>
    <x v="0"/>
    <n v="59140.95"/>
    <n v="59140.95"/>
  </r>
  <r>
    <n v="10133"/>
    <x v="116"/>
    <s v="Vihaan"/>
    <x v="5"/>
    <x v="2"/>
    <s v="Stapler"/>
    <n v="19"/>
    <n v="3237.08"/>
    <n v="0"/>
    <x v="4"/>
    <n v="61504.52"/>
    <n v="61504.52"/>
  </r>
  <r>
    <n v="10134"/>
    <x v="117"/>
    <s v="Diya"/>
    <x v="1"/>
    <x v="2"/>
    <s v="Notebook"/>
    <n v="19"/>
    <n v="3719.76"/>
    <n v="0"/>
    <x v="2"/>
    <n v="70675.44"/>
    <n v="70675.44"/>
  </r>
  <r>
    <n v="10135"/>
    <x v="8"/>
    <s v="Anaya"/>
    <x v="6"/>
    <x v="3"/>
    <s v="Desk"/>
    <n v="1"/>
    <n v="2974.1"/>
    <n v="5"/>
    <x v="2"/>
    <n v="2974.1"/>
    <n v="2825.395"/>
  </r>
  <r>
    <n v="10136"/>
    <x v="118"/>
    <s v="Vihaan"/>
    <x v="7"/>
    <x v="0"/>
    <s v="Tea"/>
    <n v="3"/>
    <n v="3562.56"/>
    <n v="15"/>
    <x v="2"/>
    <n v="10687.68"/>
    <n v="9084.5280000000002"/>
  </r>
  <r>
    <n v="10137"/>
    <x v="119"/>
    <s v="Vihaan"/>
    <x v="0"/>
    <x v="0"/>
    <s v="Coffee"/>
    <n v="11"/>
    <n v="3975.08"/>
    <n v="5"/>
    <x v="1"/>
    <n v="43725.88"/>
    <n v="41539.585999999996"/>
  </r>
  <r>
    <n v="10138"/>
    <x v="75"/>
    <s v="Vihaan"/>
    <x v="6"/>
    <x v="3"/>
    <s v="Table"/>
    <n v="15"/>
    <n v="1660.63"/>
    <n v="0"/>
    <x v="3"/>
    <n v="24909.45"/>
    <n v="24909.45"/>
  </r>
  <r>
    <n v="10139"/>
    <x v="18"/>
    <s v="Ishaan"/>
    <x v="0"/>
    <x v="1"/>
    <s v="Monitor"/>
    <n v="2"/>
    <n v="299.83"/>
    <n v="5"/>
    <x v="4"/>
    <n v="599.66"/>
    <n v="569.67700000000002"/>
  </r>
  <r>
    <n v="10140"/>
    <x v="115"/>
    <s v="Rohan"/>
    <x v="9"/>
    <x v="2"/>
    <s v="Marker"/>
    <n v="18"/>
    <n v="3119.42"/>
    <n v="5"/>
    <x v="1"/>
    <n v="56149.56"/>
    <n v="53342.081999999995"/>
  </r>
  <r>
    <n v="10141"/>
    <x v="120"/>
    <s v="Aarav"/>
    <x v="6"/>
    <x v="0"/>
    <s v="Sugar"/>
    <n v="1"/>
    <n v="1889.13"/>
    <n v="0"/>
    <x v="3"/>
    <n v="1889.13"/>
    <n v="1889.13"/>
  </r>
  <r>
    <n v="10142"/>
    <x v="121"/>
    <s v="Ishaan"/>
    <x v="4"/>
    <x v="2"/>
    <s v="Marker"/>
    <n v="6"/>
    <n v="4043.27"/>
    <n v="10"/>
    <x v="0"/>
    <n v="24259.62"/>
    <n v="21833.657999999999"/>
  </r>
  <r>
    <n v="10143"/>
    <x v="122"/>
    <s v="Ishaan"/>
    <x v="3"/>
    <x v="0"/>
    <s v="Sugar"/>
    <n v="17"/>
    <n v="1611.1"/>
    <n v="0"/>
    <x v="0"/>
    <n v="27388.699999999997"/>
    <n v="27388.699999999997"/>
  </r>
  <r>
    <n v="10144"/>
    <x v="107"/>
    <s v="Aarav"/>
    <x v="7"/>
    <x v="1"/>
    <s v="SSD"/>
    <n v="12"/>
    <n v="1434.69"/>
    <n v="15"/>
    <x v="0"/>
    <n v="17216.28"/>
    <n v="14633.838"/>
  </r>
  <r>
    <n v="10145"/>
    <x v="123"/>
    <s v="Meera"/>
    <x v="2"/>
    <x v="2"/>
    <s v="Stapler"/>
    <n v="17"/>
    <n v="594.73"/>
    <n v="0"/>
    <x v="1"/>
    <n v="10110.41"/>
    <n v="10110.41"/>
  </r>
  <r>
    <n v="10146"/>
    <x v="124"/>
    <s v="Neha"/>
    <x v="8"/>
    <x v="0"/>
    <s v="Tea"/>
    <n v="10"/>
    <n v="2346.62"/>
    <n v="0"/>
    <x v="3"/>
    <n v="23466.199999999997"/>
    <n v="23466.199999999997"/>
  </r>
  <r>
    <n v="10147"/>
    <x v="125"/>
    <s v="Vihaan"/>
    <x v="5"/>
    <x v="2"/>
    <s v="Pen"/>
    <n v="19"/>
    <n v="2837.04"/>
    <n v="10"/>
    <x v="0"/>
    <n v="53903.76"/>
    <n v="48513.384000000005"/>
  </r>
  <r>
    <n v="10148"/>
    <x v="71"/>
    <s v="Meera"/>
    <x v="8"/>
    <x v="1"/>
    <s v="Keyboard"/>
    <n v="9"/>
    <n v="3500.27"/>
    <n v="15"/>
    <x v="2"/>
    <n v="31502.43"/>
    <n v="26777.065500000001"/>
  </r>
  <r>
    <n v="10149"/>
    <x v="126"/>
    <s v="Kabir"/>
    <x v="9"/>
    <x v="2"/>
    <s v="Notebook"/>
    <n v="15"/>
    <n v="4721.08"/>
    <n v="10"/>
    <x v="4"/>
    <n v="70816.2"/>
    <n v="63734.579999999994"/>
  </r>
  <r>
    <n v="10150"/>
    <x v="127"/>
    <s v="Rohan"/>
    <x v="6"/>
    <x v="3"/>
    <s v="Chair"/>
    <n v="17"/>
    <n v="4930.3999999999996"/>
    <n v="0"/>
    <x v="1"/>
    <n v="83816.799999999988"/>
    <n v="83816.799999999988"/>
  </r>
  <r>
    <n v="10151"/>
    <x v="128"/>
    <s v="Meera"/>
    <x v="7"/>
    <x v="2"/>
    <s v="Pen"/>
    <n v="14"/>
    <n v="3753.86"/>
    <n v="10"/>
    <x v="0"/>
    <n v="52554.04"/>
    <n v="47298.635999999999"/>
  </r>
  <r>
    <n v="10152"/>
    <x v="78"/>
    <s v="Vihaan"/>
    <x v="4"/>
    <x v="0"/>
    <s v="Sugar"/>
    <n v="1"/>
    <n v="1116.24"/>
    <n v="15"/>
    <x v="4"/>
    <n v="1116.24"/>
    <n v="948.80400000000009"/>
  </r>
  <r>
    <n v="10153"/>
    <x v="129"/>
    <s v="Aarav"/>
    <x v="8"/>
    <x v="2"/>
    <s v="Notebook"/>
    <n v="11"/>
    <n v="2584.33"/>
    <n v="0"/>
    <x v="4"/>
    <n v="28427.629999999997"/>
    <n v="28427.629999999997"/>
  </r>
  <r>
    <n v="10154"/>
    <x v="130"/>
    <s v="Kabir"/>
    <x v="4"/>
    <x v="1"/>
    <s v="SSD"/>
    <n v="13"/>
    <n v="3808.65"/>
    <n v="15"/>
    <x v="4"/>
    <n v="49512.450000000004"/>
    <n v="42085.582500000004"/>
  </r>
  <r>
    <n v="10155"/>
    <x v="42"/>
    <s v="Priya"/>
    <x v="7"/>
    <x v="1"/>
    <s v="Keyboard"/>
    <n v="11"/>
    <n v="548.29"/>
    <n v="5"/>
    <x v="1"/>
    <n v="6031.19"/>
    <n v="5729.6304999999993"/>
  </r>
  <r>
    <n v="10156"/>
    <x v="131"/>
    <s v="Rohan"/>
    <x v="7"/>
    <x v="1"/>
    <s v="SSD"/>
    <n v="15"/>
    <n v="3132.66"/>
    <n v="0"/>
    <x v="1"/>
    <n v="46989.899999999994"/>
    <n v="46989.899999999994"/>
  </r>
  <r>
    <n v="10157"/>
    <x v="123"/>
    <s v="Diya"/>
    <x v="2"/>
    <x v="2"/>
    <s v="Stapler"/>
    <n v="8"/>
    <n v="3504.16"/>
    <n v="15"/>
    <x v="3"/>
    <n v="28033.279999999999"/>
    <n v="23828.288"/>
  </r>
  <r>
    <n v="10158"/>
    <x v="132"/>
    <s v="Anaya"/>
    <x v="4"/>
    <x v="1"/>
    <s v="Monitor"/>
    <n v="17"/>
    <n v="2766.45"/>
    <n v="5"/>
    <x v="0"/>
    <n v="47029.649999999994"/>
    <n v="44678.167499999996"/>
  </r>
  <r>
    <n v="10159"/>
    <x v="23"/>
    <s v="Anaya"/>
    <x v="5"/>
    <x v="2"/>
    <s v="Stapler"/>
    <n v="16"/>
    <n v="3513.68"/>
    <n v="10"/>
    <x v="0"/>
    <n v="56218.879999999997"/>
    <n v="50596.991999999998"/>
  </r>
  <r>
    <n v="10160"/>
    <x v="8"/>
    <s v="Diya"/>
    <x v="2"/>
    <x v="1"/>
    <s v="Monitor"/>
    <n v="1"/>
    <n v="2743.23"/>
    <n v="0"/>
    <x v="4"/>
    <n v="2743.23"/>
    <n v="2743.23"/>
  </r>
  <r>
    <n v="10161"/>
    <x v="133"/>
    <s v="Ishaan"/>
    <x v="6"/>
    <x v="1"/>
    <s v="Mouse"/>
    <n v="7"/>
    <n v="1526.59"/>
    <n v="10"/>
    <x v="0"/>
    <n v="10686.13"/>
    <n v="9617.5169999999998"/>
  </r>
  <r>
    <n v="10162"/>
    <x v="30"/>
    <s v="Aarav"/>
    <x v="6"/>
    <x v="1"/>
    <s v="Mouse"/>
    <n v="13"/>
    <n v="2409.2600000000002"/>
    <n v="5"/>
    <x v="3"/>
    <n v="31320.380000000005"/>
    <n v="29754.361000000004"/>
  </r>
  <r>
    <n v="10163"/>
    <x v="134"/>
    <s v="Priya"/>
    <x v="4"/>
    <x v="3"/>
    <s v="Table"/>
    <n v="12"/>
    <n v="532.26"/>
    <n v="20"/>
    <x v="3"/>
    <n v="6387.12"/>
    <n v="5109.6959999999999"/>
  </r>
  <r>
    <n v="10164"/>
    <x v="135"/>
    <s v="Sneha"/>
    <x v="2"/>
    <x v="2"/>
    <s v="Marker"/>
    <n v="3"/>
    <n v="4959.3900000000003"/>
    <n v="5"/>
    <x v="0"/>
    <n v="14878.170000000002"/>
    <n v="14134.261500000002"/>
  </r>
  <r>
    <n v="10165"/>
    <x v="67"/>
    <s v="Sneha"/>
    <x v="9"/>
    <x v="1"/>
    <s v="SSD"/>
    <n v="1"/>
    <n v="612.88"/>
    <n v="20"/>
    <x v="3"/>
    <n v="612.88"/>
    <n v="490.30399999999997"/>
  </r>
  <r>
    <n v="10166"/>
    <x v="94"/>
    <s v="Sneha"/>
    <x v="0"/>
    <x v="1"/>
    <s v="SSD"/>
    <n v="12"/>
    <n v="2740.53"/>
    <n v="10"/>
    <x v="2"/>
    <n v="32886.36"/>
    <n v="29597.724000000002"/>
  </r>
  <r>
    <n v="10167"/>
    <x v="136"/>
    <s v="Kabir"/>
    <x v="5"/>
    <x v="1"/>
    <s v="Monitor"/>
    <n v="15"/>
    <n v="2511.58"/>
    <n v="5"/>
    <x v="3"/>
    <n v="37673.699999999997"/>
    <n v="35790.014999999999"/>
  </r>
  <r>
    <n v="10168"/>
    <x v="137"/>
    <s v="Sneha"/>
    <x v="3"/>
    <x v="0"/>
    <s v="Tea"/>
    <n v="19"/>
    <n v="4924.0600000000004"/>
    <n v="15"/>
    <x v="1"/>
    <n v="93557.140000000014"/>
    <n v="79523.569000000018"/>
  </r>
  <r>
    <n v="10169"/>
    <x v="89"/>
    <s v="Ishaan"/>
    <x v="2"/>
    <x v="1"/>
    <s v="SSD"/>
    <n v="2"/>
    <n v="1414.24"/>
    <n v="20"/>
    <x v="3"/>
    <n v="2828.48"/>
    <n v="2262.7840000000001"/>
  </r>
  <r>
    <n v="10170"/>
    <x v="138"/>
    <s v="Sneha"/>
    <x v="4"/>
    <x v="3"/>
    <s v="Desk"/>
    <n v="14"/>
    <n v="3779.62"/>
    <n v="5"/>
    <x v="4"/>
    <n v="52914.68"/>
    <n v="50268.945999999996"/>
  </r>
  <r>
    <n v="10171"/>
    <x v="139"/>
    <s v="Neha"/>
    <x v="2"/>
    <x v="2"/>
    <s v="Stapler"/>
    <n v="1"/>
    <n v="1052.05"/>
    <n v="10"/>
    <x v="2"/>
    <n v="1052.05"/>
    <n v="946.84499999999991"/>
  </r>
  <r>
    <n v="10172"/>
    <x v="140"/>
    <s v="Diya"/>
    <x v="9"/>
    <x v="0"/>
    <s v="Sugar"/>
    <n v="7"/>
    <n v="2995.78"/>
    <n v="20"/>
    <x v="3"/>
    <n v="20970.460000000003"/>
    <n v="16776.368000000002"/>
  </r>
  <r>
    <n v="10173"/>
    <x v="91"/>
    <s v="Vihaan"/>
    <x v="6"/>
    <x v="2"/>
    <s v="Stapler"/>
    <n v="17"/>
    <n v="669.79"/>
    <n v="15"/>
    <x v="1"/>
    <n v="11386.43"/>
    <n v="9678.4655000000002"/>
  </r>
  <r>
    <n v="10174"/>
    <x v="141"/>
    <s v="Sneha"/>
    <x v="6"/>
    <x v="0"/>
    <s v="Coffee"/>
    <n v="1"/>
    <n v="448.66"/>
    <n v="20"/>
    <x v="0"/>
    <n v="448.66"/>
    <n v="358.928"/>
  </r>
  <r>
    <n v="10175"/>
    <x v="112"/>
    <s v="Vihaan"/>
    <x v="4"/>
    <x v="2"/>
    <s v="Stapler"/>
    <n v="11"/>
    <n v="4304.08"/>
    <n v="20"/>
    <x v="1"/>
    <n v="47344.88"/>
    <n v="37875.903999999995"/>
  </r>
  <r>
    <n v="10176"/>
    <x v="16"/>
    <s v="Priya"/>
    <x v="0"/>
    <x v="0"/>
    <s v="Sugar"/>
    <n v="13"/>
    <n v="4451.5200000000004"/>
    <n v="0"/>
    <x v="0"/>
    <n v="57869.760000000009"/>
    <n v="57869.760000000009"/>
  </r>
  <r>
    <n v="10177"/>
    <x v="109"/>
    <s v="Vihaan"/>
    <x v="1"/>
    <x v="0"/>
    <s v="Coffee"/>
    <n v="16"/>
    <n v="4012.13"/>
    <n v="20"/>
    <x v="0"/>
    <n v="64194.080000000002"/>
    <n v="51355.264000000003"/>
  </r>
  <r>
    <n v="10178"/>
    <x v="142"/>
    <s v="Diya"/>
    <x v="5"/>
    <x v="2"/>
    <s v="Marker"/>
    <n v="14"/>
    <n v="3031.07"/>
    <n v="20"/>
    <x v="0"/>
    <n v="42434.98"/>
    <n v="33947.984000000004"/>
  </r>
  <r>
    <n v="10179"/>
    <x v="139"/>
    <s v="Priya"/>
    <x v="7"/>
    <x v="1"/>
    <s v="Keyboard"/>
    <n v="5"/>
    <n v="3646.09"/>
    <n v="10"/>
    <x v="1"/>
    <n v="18230.45"/>
    <n v="16407.404999999999"/>
  </r>
  <r>
    <n v="10180"/>
    <x v="21"/>
    <s v="Anaya"/>
    <x v="7"/>
    <x v="2"/>
    <s v="Pen"/>
    <n v="15"/>
    <n v="2939.8"/>
    <n v="10"/>
    <x v="1"/>
    <n v="44097"/>
    <n v="39687.300000000003"/>
  </r>
  <r>
    <n v="10181"/>
    <x v="71"/>
    <s v="Meera"/>
    <x v="7"/>
    <x v="0"/>
    <s v="Tea"/>
    <n v="7"/>
    <n v="3232.3"/>
    <n v="20"/>
    <x v="1"/>
    <n v="22626.100000000002"/>
    <n v="18100.88"/>
  </r>
  <r>
    <n v="10182"/>
    <x v="143"/>
    <s v="Kabir"/>
    <x v="6"/>
    <x v="0"/>
    <s v="Coffee"/>
    <n v="8"/>
    <n v="4640.58"/>
    <n v="0"/>
    <x v="4"/>
    <n v="37124.639999999999"/>
    <n v="37124.639999999999"/>
  </r>
  <r>
    <n v="10183"/>
    <x v="144"/>
    <s v="Rohan"/>
    <x v="2"/>
    <x v="1"/>
    <s v="Keyboard"/>
    <n v="17"/>
    <n v="3377.86"/>
    <n v="0"/>
    <x v="1"/>
    <n v="57423.62"/>
    <n v="57423.62"/>
  </r>
  <r>
    <n v="10184"/>
    <x v="19"/>
    <s v="Arjun"/>
    <x v="5"/>
    <x v="0"/>
    <s v="Sugar"/>
    <n v="6"/>
    <n v="2944.03"/>
    <n v="0"/>
    <x v="0"/>
    <n v="17664.18"/>
    <n v="17664.18"/>
  </r>
  <r>
    <n v="10185"/>
    <x v="35"/>
    <s v="Priya"/>
    <x v="1"/>
    <x v="1"/>
    <s v="SSD"/>
    <n v="9"/>
    <n v="4822.47"/>
    <n v="20"/>
    <x v="0"/>
    <n v="43402.23"/>
    <n v="34721.784"/>
  </r>
  <r>
    <n v="10186"/>
    <x v="145"/>
    <s v="Anaya"/>
    <x v="1"/>
    <x v="2"/>
    <s v="Marker"/>
    <n v="6"/>
    <n v="3038.31"/>
    <n v="0"/>
    <x v="2"/>
    <n v="18229.86"/>
    <n v="18229.86"/>
  </r>
  <r>
    <n v="10187"/>
    <x v="146"/>
    <s v="Diya"/>
    <x v="4"/>
    <x v="0"/>
    <s v="Coffee"/>
    <n v="15"/>
    <n v="3227.31"/>
    <n v="20"/>
    <x v="2"/>
    <n v="48409.65"/>
    <n v="38727.72"/>
  </r>
  <r>
    <n v="10188"/>
    <x v="147"/>
    <s v="Diya"/>
    <x v="9"/>
    <x v="0"/>
    <s v="Tea"/>
    <n v="20"/>
    <n v="2721.54"/>
    <n v="15"/>
    <x v="1"/>
    <n v="54430.8"/>
    <n v="46266.18"/>
  </r>
  <r>
    <n v="10189"/>
    <x v="148"/>
    <s v="Arjun"/>
    <x v="8"/>
    <x v="1"/>
    <s v="SSD"/>
    <n v="11"/>
    <n v="4315.3"/>
    <n v="20"/>
    <x v="2"/>
    <n v="47468.3"/>
    <n v="37974.639999999999"/>
  </r>
  <r>
    <n v="10190"/>
    <x v="140"/>
    <s v="Neha"/>
    <x v="9"/>
    <x v="2"/>
    <s v="Notebook"/>
    <n v="20"/>
    <n v="4108.34"/>
    <n v="15"/>
    <x v="2"/>
    <n v="82166.8"/>
    <n v="69841.78"/>
  </r>
  <r>
    <n v="10191"/>
    <x v="64"/>
    <s v="Neha"/>
    <x v="5"/>
    <x v="1"/>
    <s v="Monitor"/>
    <n v="19"/>
    <n v="4020.63"/>
    <n v="0"/>
    <x v="4"/>
    <n v="76391.97"/>
    <n v="76391.97"/>
  </r>
  <r>
    <n v="10192"/>
    <x v="149"/>
    <s v="Meera"/>
    <x v="4"/>
    <x v="2"/>
    <s v="Notebook"/>
    <n v="8"/>
    <n v="1840.38"/>
    <n v="20"/>
    <x v="4"/>
    <n v="14723.04"/>
    <n v="11778.432000000001"/>
  </r>
  <r>
    <n v="10193"/>
    <x v="122"/>
    <s v="Meera"/>
    <x v="4"/>
    <x v="1"/>
    <s v="SSD"/>
    <n v="12"/>
    <n v="3663.89"/>
    <n v="10"/>
    <x v="0"/>
    <n v="43966.68"/>
    <n v="39570.012000000002"/>
  </r>
  <r>
    <n v="10194"/>
    <x v="150"/>
    <s v="Diya"/>
    <x v="5"/>
    <x v="0"/>
    <s v="Rice"/>
    <n v="2"/>
    <n v="1343.81"/>
    <n v="5"/>
    <x v="1"/>
    <n v="2687.62"/>
    <n v="2553.239"/>
  </r>
  <r>
    <n v="10195"/>
    <x v="151"/>
    <s v="Arjun"/>
    <x v="0"/>
    <x v="0"/>
    <s v="Rice"/>
    <n v="6"/>
    <n v="2486.3000000000002"/>
    <n v="0"/>
    <x v="3"/>
    <n v="14917.800000000001"/>
    <n v="14917.800000000001"/>
  </r>
  <r>
    <n v="10196"/>
    <x v="152"/>
    <s v="Aarav"/>
    <x v="7"/>
    <x v="3"/>
    <s v="Desk"/>
    <n v="4"/>
    <n v="1574.59"/>
    <n v="20"/>
    <x v="0"/>
    <n v="6298.36"/>
    <n v="5038.6880000000001"/>
  </r>
  <r>
    <n v="10197"/>
    <x v="153"/>
    <s v="Priya"/>
    <x v="4"/>
    <x v="0"/>
    <s v="Sugar"/>
    <n v="18"/>
    <n v="1603.43"/>
    <n v="10"/>
    <x v="3"/>
    <n v="28861.74"/>
    <n v="25975.566000000003"/>
  </r>
  <r>
    <n v="10198"/>
    <x v="99"/>
    <s v="Diya"/>
    <x v="8"/>
    <x v="0"/>
    <s v="Coffee"/>
    <n v="3"/>
    <n v="3423.97"/>
    <n v="10"/>
    <x v="3"/>
    <n v="10271.91"/>
    <n v="9244.7189999999991"/>
  </r>
  <r>
    <n v="10199"/>
    <x v="55"/>
    <s v="Sneha"/>
    <x v="3"/>
    <x v="2"/>
    <s v="Marker"/>
    <n v="9"/>
    <n v="3661.16"/>
    <n v="10"/>
    <x v="1"/>
    <n v="32950.44"/>
    <n v="29655.396000000001"/>
  </r>
  <r>
    <n v="10200"/>
    <x v="154"/>
    <s v="Rohan"/>
    <x v="0"/>
    <x v="1"/>
    <s v="SSD"/>
    <n v="7"/>
    <n v="1644.08"/>
    <n v="20"/>
    <x v="3"/>
    <n v="11508.56"/>
    <n v="9206.848"/>
  </r>
  <r>
    <n v="10201"/>
    <x v="112"/>
    <s v="Diya"/>
    <x v="3"/>
    <x v="1"/>
    <s v="Mouse"/>
    <n v="7"/>
    <n v="3464.14"/>
    <n v="0"/>
    <x v="2"/>
    <n v="24248.98"/>
    <n v="24248.98"/>
  </r>
  <r>
    <n v="10202"/>
    <x v="155"/>
    <s v="Rohan"/>
    <x v="3"/>
    <x v="0"/>
    <s v="Rice"/>
    <n v="7"/>
    <n v="4267.29"/>
    <n v="5"/>
    <x v="4"/>
    <n v="29871.03"/>
    <n v="28377.478499999997"/>
  </r>
  <r>
    <n v="10203"/>
    <x v="156"/>
    <s v="Priya"/>
    <x v="5"/>
    <x v="2"/>
    <s v="Marker"/>
    <n v="11"/>
    <n v="1997.3"/>
    <n v="5"/>
    <x v="4"/>
    <n v="21970.3"/>
    <n v="20871.785"/>
  </r>
  <r>
    <n v="10204"/>
    <x v="157"/>
    <s v="Rohan"/>
    <x v="1"/>
    <x v="0"/>
    <s v="Coffee"/>
    <n v="9"/>
    <n v="4890"/>
    <n v="15"/>
    <x v="2"/>
    <n v="44010"/>
    <n v="37408.5"/>
  </r>
  <r>
    <n v="10205"/>
    <x v="158"/>
    <s v="Rohan"/>
    <x v="6"/>
    <x v="0"/>
    <s v="Tea"/>
    <n v="9"/>
    <n v="1768.29"/>
    <n v="0"/>
    <x v="2"/>
    <n v="15914.61"/>
    <n v="15914.61"/>
  </r>
  <r>
    <n v="10206"/>
    <x v="159"/>
    <s v="Meera"/>
    <x v="1"/>
    <x v="0"/>
    <s v="Sugar"/>
    <n v="1"/>
    <n v="1446.8"/>
    <n v="5"/>
    <x v="0"/>
    <n v="1446.8"/>
    <n v="1374.46"/>
  </r>
  <r>
    <n v="10207"/>
    <x v="160"/>
    <s v="Vihaan"/>
    <x v="3"/>
    <x v="2"/>
    <s v="Notebook"/>
    <n v="18"/>
    <n v="4843.68"/>
    <n v="10"/>
    <x v="0"/>
    <n v="87186.240000000005"/>
    <n v="78467.616000000009"/>
  </r>
  <r>
    <n v="10208"/>
    <x v="148"/>
    <s v="Priya"/>
    <x v="0"/>
    <x v="2"/>
    <s v="Stapler"/>
    <n v="9"/>
    <n v="473.78"/>
    <n v="5"/>
    <x v="2"/>
    <n v="4264.0199999999995"/>
    <n v="4050.8189999999995"/>
  </r>
  <r>
    <n v="10209"/>
    <x v="103"/>
    <s v="Diya"/>
    <x v="3"/>
    <x v="0"/>
    <s v="Tea"/>
    <n v="3"/>
    <n v="3149.38"/>
    <n v="5"/>
    <x v="4"/>
    <n v="9448.14"/>
    <n v="8975.7330000000002"/>
  </r>
  <r>
    <n v="10210"/>
    <x v="161"/>
    <s v="Neha"/>
    <x v="8"/>
    <x v="2"/>
    <s v="Notebook"/>
    <n v="9"/>
    <n v="4172.09"/>
    <n v="15"/>
    <x v="4"/>
    <n v="37548.81"/>
    <n v="31916.488499999999"/>
  </r>
  <r>
    <n v="10211"/>
    <x v="162"/>
    <s v="Meera"/>
    <x v="3"/>
    <x v="3"/>
    <s v="Desk"/>
    <n v="4"/>
    <n v="2057.34"/>
    <n v="0"/>
    <x v="4"/>
    <n v="8229.36"/>
    <n v="8229.36"/>
  </r>
  <r>
    <n v="10212"/>
    <x v="163"/>
    <s v="Priya"/>
    <x v="9"/>
    <x v="0"/>
    <s v="Rice"/>
    <n v="14"/>
    <n v="1413.47"/>
    <n v="15"/>
    <x v="4"/>
    <n v="19788.580000000002"/>
    <n v="16820.293000000001"/>
  </r>
  <r>
    <n v="10213"/>
    <x v="149"/>
    <s v="Ishaan"/>
    <x v="1"/>
    <x v="3"/>
    <s v="Chair"/>
    <n v="8"/>
    <n v="4898.42"/>
    <n v="5"/>
    <x v="4"/>
    <n v="39187.360000000001"/>
    <n v="37227.991999999998"/>
  </r>
  <r>
    <n v="10214"/>
    <x v="21"/>
    <s v="Vihaan"/>
    <x v="3"/>
    <x v="1"/>
    <s v="SSD"/>
    <n v="9"/>
    <n v="2913.68"/>
    <n v="15"/>
    <x v="2"/>
    <n v="26223.119999999999"/>
    <n v="22289.651999999998"/>
  </r>
  <r>
    <n v="10215"/>
    <x v="164"/>
    <s v="Neha"/>
    <x v="1"/>
    <x v="0"/>
    <s v="Coffee"/>
    <n v="19"/>
    <n v="1572.25"/>
    <n v="20"/>
    <x v="3"/>
    <n v="29872.75"/>
    <n v="23898.2"/>
  </r>
  <r>
    <n v="10216"/>
    <x v="43"/>
    <s v="Kabir"/>
    <x v="4"/>
    <x v="1"/>
    <s v="Keyboard"/>
    <n v="4"/>
    <n v="2518.33"/>
    <n v="0"/>
    <x v="3"/>
    <n v="10073.32"/>
    <n v="10073.32"/>
  </r>
  <r>
    <n v="10217"/>
    <x v="165"/>
    <s v="Vihaan"/>
    <x v="8"/>
    <x v="0"/>
    <s v="Coffee"/>
    <n v="1"/>
    <n v="2864.78"/>
    <n v="5"/>
    <x v="2"/>
    <n v="2864.78"/>
    <n v="2721.5410000000002"/>
  </r>
  <r>
    <n v="10218"/>
    <x v="11"/>
    <s v="Kabir"/>
    <x v="5"/>
    <x v="3"/>
    <s v="Table"/>
    <n v="6"/>
    <n v="940.44"/>
    <n v="10"/>
    <x v="1"/>
    <n v="5642.64"/>
    <n v="5078.3760000000002"/>
  </r>
  <r>
    <n v="10219"/>
    <x v="166"/>
    <s v="Diya"/>
    <x v="7"/>
    <x v="0"/>
    <s v="Tea"/>
    <n v="8"/>
    <n v="4740.3999999999996"/>
    <n v="0"/>
    <x v="0"/>
    <n v="37923.199999999997"/>
    <n v="37923.199999999997"/>
  </r>
  <r>
    <n v="10220"/>
    <x v="167"/>
    <s v="Arjun"/>
    <x v="4"/>
    <x v="0"/>
    <s v="Rice"/>
    <n v="13"/>
    <n v="2817.78"/>
    <n v="0"/>
    <x v="0"/>
    <n v="36631.14"/>
    <n v="36631.14"/>
  </r>
  <r>
    <n v="10221"/>
    <x v="161"/>
    <s v="Priya"/>
    <x v="7"/>
    <x v="2"/>
    <s v="Marker"/>
    <n v="9"/>
    <n v="2504.62"/>
    <n v="0"/>
    <x v="1"/>
    <n v="22541.579999999998"/>
    <n v="22541.579999999998"/>
  </r>
  <r>
    <n v="10222"/>
    <x v="98"/>
    <s v="Neha"/>
    <x v="3"/>
    <x v="0"/>
    <s v="Coffee"/>
    <n v="11"/>
    <n v="2952.83"/>
    <n v="10"/>
    <x v="0"/>
    <n v="32481.129999999997"/>
    <n v="29233.016999999996"/>
  </r>
  <r>
    <n v="10223"/>
    <x v="168"/>
    <s v="Vihaan"/>
    <x v="8"/>
    <x v="1"/>
    <s v="Mouse"/>
    <n v="1"/>
    <n v="169.6"/>
    <n v="20"/>
    <x v="0"/>
    <n v="169.6"/>
    <n v="135.68"/>
  </r>
  <r>
    <n v="10224"/>
    <x v="169"/>
    <s v="Anaya"/>
    <x v="7"/>
    <x v="0"/>
    <s v="Sugar"/>
    <n v="6"/>
    <n v="2241.7399999999998"/>
    <n v="5"/>
    <x v="1"/>
    <n v="13450.439999999999"/>
    <n v="12777.917999999998"/>
  </r>
  <r>
    <n v="10225"/>
    <x v="170"/>
    <s v="Meera"/>
    <x v="8"/>
    <x v="0"/>
    <s v="Tea"/>
    <n v="19"/>
    <n v="463.23"/>
    <n v="10"/>
    <x v="1"/>
    <n v="8801.3700000000008"/>
    <n v="7921.2330000000002"/>
  </r>
  <r>
    <n v="10226"/>
    <x v="41"/>
    <s v="Kabir"/>
    <x v="2"/>
    <x v="3"/>
    <s v="Chair"/>
    <n v="15"/>
    <n v="2949.75"/>
    <n v="0"/>
    <x v="4"/>
    <n v="44246.25"/>
    <n v="44246.25"/>
  </r>
  <r>
    <n v="10227"/>
    <x v="171"/>
    <s v="Priya"/>
    <x v="0"/>
    <x v="0"/>
    <s v="Coffee"/>
    <n v="16"/>
    <n v="3143.66"/>
    <n v="10"/>
    <x v="4"/>
    <n v="50298.559999999998"/>
    <n v="45268.703999999998"/>
  </r>
  <r>
    <n v="10228"/>
    <x v="51"/>
    <s v="Kabir"/>
    <x v="2"/>
    <x v="0"/>
    <s v="Tea"/>
    <n v="14"/>
    <n v="442.31"/>
    <n v="0"/>
    <x v="1"/>
    <n v="6192.34"/>
    <n v="6192.34"/>
  </r>
  <r>
    <n v="10229"/>
    <x v="172"/>
    <s v="Arjun"/>
    <x v="8"/>
    <x v="1"/>
    <s v="SSD"/>
    <n v="19"/>
    <n v="717.53"/>
    <n v="5"/>
    <x v="4"/>
    <n v="13633.07"/>
    <n v="12951.416499999999"/>
  </r>
  <r>
    <n v="10230"/>
    <x v="173"/>
    <s v="Neha"/>
    <x v="7"/>
    <x v="3"/>
    <s v="Chair"/>
    <n v="7"/>
    <n v="4909.1099999999997"/>
    <n v="5"/>
    <x v="3"/>
    <n v="34363.769999999997"/>
    <n v="32645.581499999997"/>
  </r>
  <r>
    <n v="10231"/>
    <x v="26"/>
    <s v="Ishaan"/>
    <x v="5"/>
    <x v="1"/>
    <s v="Mouse"/>
    <n v="5"/>
    <n v="4428.71"/>
    <n v="5"/>
    <x v="2"/>
    <n v="22143.55"/>
    <n v="21036.372499999998"/>
  </r>
  <r>
    <n v="10232"/>
    <x v="107"/>
    <s v="Rohan"/>
    <x v="6"/>
    <x v="1"/>
    <s v="SSD"/>
    <n v="5"/>
    <n v="2775.69"/>
    <n v="20"/>
    <x v="2"/>
    <n v="13878.45"/>
    <n v="11102.76"/>
  </r>
  <r>
    <n v="10233"/>
    <x v="174"/>
    <s v="Priya"/>
    <x v="8"/>
    <x v="0"/>
    <s v="Tea"/>
    <n v="10"/>
    <n v="1760.21"/>
    <n v="5"/>
    <x v="0"/>
    <n v="17602.099999999999"/>
    <n v="16721.994999999999"/>
  </r>
  <r>
    <n v="10234"/>
    <x v="175"/>
    <s v="Aarav"/>
    <x v="1"/>
    <x v="2"/>
    <s v="Stapler"/>
    <n v="9"/>
    <n v="425.66"/>
    <n v="5"/>
    <x v="4"/>
    <n v="3830.94"/>
    <n v="3639.393"/>
  </r>
  <r>
    <n v="10235"/>
    <x v="176"/>
    <s v="Neha"/>
    <x v="7"/>
    <x v="1"/>
    <s v="Mouse"/>
    <n v="13"/>
    <n v="2766.59"/>
    <n v="20"/>
    <x v="1"/>
    <n v="35965.67"/>
    <n v="28772.536"/>
  </r>
  <r>
    <n v="10236"/>
    <x v="145"/>
    <s v="Aarav"/>
    <x v="8"/>
    <x v="1"/>
    <s v="SSD"/>
    <n v="14"/>
    <n v="2443.9899999999998"/>
    <n v="20"/>
    <x v="0"/>
    <n v="34215.86"/>
    <n v="27372.688000000002"/>
  </r>
  <r>
    <n v="10237"/>
    <x v="177"/>
    <s v="Ishaan"/>
    <x v="8"/>
    <x v="3"/>
    <s v="Chair"/>
    <n v="17"/>
    <n v="3483.09"/>
    <n v="15"/>
    <x v="4"/>
    <n v="59212.53"/>
    <n v="50330.650500000003"/>
  </r>
  <r>
    <n v="10238"/>
    <x v="178"/>
    <s v="Ishaan"/>
    <x v="0"/>
    <x v="2"/>
    <s v="Marker"/>
    <n v="16"/>
    <n v="4026.73"/>
    <n v="15"/>
    <x v="4"/>
    <n v="64427.68"/>
    <n v="54763.527999999998"/>
  </r>
  <r>
    <n v="10239"/>
    <x v="179"/>
    <s v="Vihaan"/>
    <x v="0"/>
    <x v="3"/>
    <s v="Desk"/>
    <n v="15"/>
    <n v="2880.19"/>
    <n v="5"/>
    <x v="0"/>
    <n v="43202.85"/>
    <n v="41042.707499999997"/>
  </r>
  <r>
    <n v="10240"/>
    <x v="180"/>
    <s v="Arjun"/>
    <x v="5"/>
    <x v="1"/>
    <s v="Monitor"/>
    <n v="19"/>
    <n v="3338.52"/>
    <n v="10"/>
    <x v="1"/>
    <n v="63431.88"/>
    <n v="57088.691999999995"/>
  </r>
  <r>
    <n v="10241"/>
    <x v="75"/>
    <s v="Ishaan"/>
    <x v="1"/>
    <x v="3"/>
    <s v="Desk"/>
    <n v="3"/>
    <n v="1268.51"/>
    <n v="15"/>
    <x v="0"/>
    <n v="3805.5299999999997"/>
    <n v="3234.7004999999999"/>
  </r>
  <r>
    <n v="10242"/>
    <x v="181"/>
    <s v="Rohan"/>
    <x v="9"/>
    <x v="2"/>
    <s v="Pen"/>
    <n v="19"/>
    <n v="3130.97"/>
    <n v="5"/>
    <x v="1"/>
    <n v="59488.429999999993"/>
    <n v="56514.008499999996"/>
  </r>
  <r>
    <n v="10243"/>
    <x v="182"/>
    <s v="Ishaan"/>
    <x v="6"/>
    <x v="2"/>
    <s v="Notebook"/>
    <n v="3"/>
    <n v="1172.81"/>
    <n v="5"/>
    <x v="1"/>
    <n v="3518.43"/>
    <n v="3342.5084999999999"/>
  </r>
  <r>
    <n v="10244"/>
    <x v="178"/>
    <s v="Rohan"/>
    <x v="3"/>
    <x v="1"/>
    <s v="Mouse"/>
    <n v="8"/>
    <n v="720.11"/>
    <n v="20"/>
    <x v="1"/>
    <n v="5760.88"/>
    <n v="4608.7039999999997"/>
  </r>
  <r>
    <n v="10245"/>
    <x v="183"/>
    <s v="Ishaan"/>
    <x v="7"/>
    <x v="2"/>
    <s v="Marker"/>
    <n v="11"/>
    <n v="4247.26"/>
    <n v="15"/>
    <x v="3"/>
    <n v="46719.86"/>
    <n v="39711.881000000001"/>
  </r>
  <r>
    <n v="10246"/>
    <x v="41"/>
    <s v="Neha"/>
    <x v="5"/>
    <x v="3"/>
    <s v="Chair"/>
    <n v="10"/>
    <n v="2274.19"/>
    <n v="5"/>
    <x v="0"/>
    <n v="22741.9"/>
    <n v="21604.805"/>
  </r>
  <r>
    <n v="10247"/>
    <x v="184"/>
    <s v="Rohan"/>
    <x v="0"/>
    <x v="2"/>
    <s v="Marker"/>
    <n v="2"/>
    <n v="1313.3"/>
    <n v="5"/>
    <x v="3"/>
    <n v="2626.6"/>
    <n v="2495.27"/>
  </r>
  <r>
    <n v="10248"/>
    <x v="185"/>
    <s v="Meera"/>
    <x v="1"/>
    <x v="2"/>
    <s v="Pen"/>
    <n v="3"/>
    <n v="2318.02"/>
    <n v="20"/>
    <x v="2"/>
    <n v="6954.0599999999995"/>
    <n v="5563.2479999999996"/>
  </r>
  <r>
    <n v="10249"/>
    <x v="111"/>
    <s v="Priya"/>
    <x v="3"/>
    <x v="2"/>
    <s v="Pen"/>
    <n v="19"/>
    <n v="395.19"/>
    <n v="0"/>
    <x v="2"/>
    <n v="7508.61"/>
    <n v="7508.61"/>
  </r>
  <r>
    <n v="10250"/>
    <x v="186"/>
    <s v="Arjun"/>
    <x v="5"/>
    <x v="2"/>
    <s v="Stapler"/>
    <n v="5"/>
    <n v="799.63"/>
    <n v="0"/>
    <x v="4"/>
    <n v="3998.15"/>
    <n v="3998.15"/>
  </r>
  <r>
    <n v="10251"/>
    <x v="124"/>
    <s v="Priya"/>
    <x v="9"/>
    <x v="3"/>
    <s v="Cabinet"/>
    <n v="12"/>
    <n v="2807.78"/>
    <n v="20"/>
    <x v="1"/>
    <n v="33693.360000000001"/>
    <n v="26954.688000000002"/>
  </r>
  <r>
    <n v="10252"/>
    <x v="59"/>
    <s v="Vihaan"/>
    <x v="8"/>
    <x v="3"/>
    <s v="Desk"/>
    <n v="8"/>
    <n v="276.88"/>
    <n v="10"/>
    <x v="4"/>
    <n v="2215.04"/>
    <n v="1993.5360000000001"/>
  </r>
  <r>
    <n v="10253"/>
    <x v="145"/>
    <s v="Kabir"/>
    <x v="2"/>
    <x v="0"/>
    <s v="Sugar"/>
    <n v="3"/>
    <n v="2849.85"/>
    <n v="5"/>
    <x v="4"/>
    <n v="8549.5499999999993"/>
    <n v="8122.0724999999993"/>
  </r>
  <r>
    <n v="10254"/>
    <x v="187"/>
    <s v="Rohan"/>
    <x v="5"/>
    <x v="3"/>
    <s v="Cabinet"/>
    <n v="3"/>
    <n v="3441.81"/>
    <n v="10"/>
    <x v="4"/>
    <n v="10325.43"/>
    <n v="9292.8870000000006"/>
  </r>
  <r>
    <n v="10255"/>
    <x v="155"/>
    <s v="Diya"/>
    <x v="2"/>
    <x v="1"/>
    <s v="SSD"/>
    <n v="7"/>
    <n v="3851.29"/>
    <n v="10"/>
    <x v="2"/>
    <n v="26959.03"/>
    <n v="24263.127"/>
  </r>
  <r>
    <n v="10256"/>
    <x v="101"/>
    <s v="Neha"/>
    <x v="0"/>
    <x v="1"/>
    <s v="Keyboard"/>
    <n v="18"/>
    <n v="4842.1099999999997"/>
    <n v="5"/>
    <x v="4"/>
    <n v="87157.98"/>
    <n v="82800.080999999991"/>
  </r>
  <r>
    <n v="10257"/>
    <x v="188"/>
    <s v="Meera"/>
    <x v="3"/>
    <x v="3"/>
    <s v="Chair"/>
    <n v="17"/>
    <n v="3101.55"/>
    <n v="20"/>
    <x v="0"/>
    <n v="52726.350000000006"/>
    <n v="42181.08"/>
  </r>
  <r>
    <n v="10258"/>
    <x v="189"/>
    <s v="Arjun"/>
    <x v="3"/>
    <x v="2"/>
    <s v="Marker"/>
    <n v="8"/>
    <n v="1133.76"/>
    <n v="5"/>
    <x v="0"/>
    <n v="9070.08"/>
    <n v="8616.5759999999991"/>
  </r>
  <r>
    <n v="10259"/>
    <x v="136"/>
    <s v="Kabir"/>
    <x v="2"/>
    <x v="0"/>
    <s v="Coffee"/>
    <n v="8"/>
    <n v="3137.58"/>
    <n v="10"/>
    <x v="3"/>
    <n v="25100.639999999999"/>
    <n v="22590.576000000001"/>
  </r>
  <r>
    <n v="10260"/>
    <x v="190"/>
    <s v="Sneha"/>
    <x v="2"/>
    <x v="1"/>
    <s v="Monitor"/>
    <n v="3"/>
    <n v="107.91"/>
    <n v="20"/>
    <x v="4"/>
    <n v="323.73"/>
    <n v="258.98400000000004"/>
  </r>
  <r>
    <n v="10261"/>
    <x v="191"/>
    <s v="Rohan"/>
    <x v="0"/>
    <x v="0"/>
    <s v="Coffee"/>
    <n v="12"/>
    <n v="4747.97"/>
    <n v="10"/>
    <x v="0"/>
    <n v="56975.64"/>
    <n v="51278.076000000001"/>
  </r>
  <r>
    <n v="10262"/>
    <x v="135"/>
    <s v="Arjun"/>
    <x v="8"/>
    <x v="0"/>
    <s v="Tea"/>
    <n v="19"/>
    <n v="3675.94"/>
    <n v="20"/>
    <x v="2"/>
    <n v="69842.86"/>
    <n v="55874.288"/>
  </r>
  <r>
    <n v="10263"/>
    <x v="191"/>
    <s v="Meera"/>
    <x v="3"/>
    <x v="3"/>
    <s v="Table"/>
    <n v="16"/>
    <n v="4025.04"/>
    <n v="20"/>
    <x v="3"/>
    <n v="64400.639999999999"/>
    <n v="51520.512000000002"/>
  </r>
  <r>
    <n v="10264"/>
    <x v="192"/>
    <s v="Vihaan"/>
    <x v="9"/>
    <x v="3"/>
    <s v="Table"/>
    <n v="4"/>
    <n v="3864.02"/>
    <n v="15"/>
    <x v="3"/>
    <n v="15456.08"/>
    <n v="13137.668"/>
  </r>
  <r>
    <n v="10265"/>
    <x v="193"/>
    <s v="Rohan"/>
    <x v="7"/>
    <x v="2"/>
    <s v="Notebook"/>
    <n v="5"/>
    <n v="1333.54"/>
    <n v="15"/>
    <x v="1"/>
    <n v="6667.7"/>
    <n v="5667.5450000000001"/>
  </r>
  <r>
    <n v="10266"/>
    <x v="34"/>
    <s v="Priya"/>
    <x v="6"/>
    <x v="2"/>
    <s v="Notebook"/>
    <n v="1"/>
    <n v="4165.95"/>
    <n v="0"/>
    <x v="4"/>
    <n v="4165.95"/>
    <n v="4165.95"/>
  </r>
  <r>
    <n v="10267"/>
    <x v="194"/>
    <s v="Aarav"/>
    <x v="1"/>
    <x v="0"/>
    <s v="Tea"/>
    <n v="5"/>
    <n v="1234.1199999999999"/>
    <n v="5"/>
    <x v="4"/>
    <n v="6170.5999999999995"/>
    <n v="5862.07"/>
  </r>
  <r>
    <n v="10268"/>
    <x v="155"/>
    <s v="Kabir"/>
    <x v="4"/>
    <x v="1"/>
    <s v="Monitor"/>
    <n v="6"/>
    <n v="346.51"/>
    <n v="0"/>
    <x v="1"/>
    <n v="2079.06"/>
    <n v="2079.06"/>
  </r>
  <r>
    <n v="10269"/>
    <x v="19"/>
    <s v="Arjun"/>
    <x v="5"/>
    <x v="1"/>
    <s v="SSD"/>
    <n v="9"/>
    <n v="2782.46"/>
    <n v="10"/>
    <x v="4"/>
    <n v="25042.14"/>
    <n v="22537.925999999999"/>
  </r>
  <r>
    <n v="10270"/>
    <x v="112"/>
    <s v="Diya"/>
    <x v="8"/>
    <x v="3"/>
    <s v="Table"/>
    <n v="14"/>
    <n v="4989.3999999999996"/>
    <n v="0"/>
    <x v="2"/>
    <n v="69851.599999999991"/>
    <n v="69851.599999999991"/>
  </r>
  <r>
    <n v="10271"/>
    <x v="195"/>
    <s v="Priya"/>
    <x v="2"/>
    <x v="0"/>
    <s v="Tea"/>
    <n v="18"/>
    <n v="4950.07"/>
    <n v="0"/>
    <x v="0"/>
    <n v="89101.26"/>
    <n v="89101.26"/>
  </r>
  <r>
    <n v="10272"/>
    <x v="196"/>
    <s v="Kabir"/>
    <x v="0"/>
    <x v="0"/>
    <s v="Sugar"/>
    <n v="1"/>
    <n v="131.38"/>
    <n v="0"/>
    <x v="3"/>
    <n v="131.38"/>
    <n v="131.38"/>
  </r>
  <r>
    <n v="10273"/>
    <x v="197"/>
    <s v="Sneha"/>
    <x v="0"/>
    <x v="3"/>
    <s v="Desk"/>
    <n v="9"/>
    <n v="363.55"/>
    <n v="0"/>
    <x v="0"/>
    <n v="3271.9500000000003"/>
    <n v="3271.9500000000003"/>
  </r>
  <r>
    <n v="10274"/>
    <x v="3"/>
    <s v="Diya"/>
    <x v="6"/>
    <x v="0"/>
    <s v="Coffee"/>
    <n v="16"/>
    <n v="2041.8"/>
    <n v="5"/>
    <x v="3"/>
    <n v="32668.799999999999"/>
    <n v="31035.360000000001"/>
  </r>
  <r>
    <n v="10275"/>
    <x v="159"/>
    <s v="Diya"/>
    <x v="1"/>
    <x v="0"/>
    <s v="Sugar"/>
    <n v="7"/>
    <n v="3258.04"/>
    <n v="5"/>
    <x v="0"/>
    <n v="22806.28"/>
    <n v="21665.966"/>
  </r>
  <r>
    <n v="10276"/>
    <x v="10"/>
    <s v="Vihaan"/>
    <x v="9"/>
    <x v="2"/>
    <s v="Stapler"/>
    <n v="2"/>
    <n v="2640.73"/>
    <n v="15"/>
    <x v="0"/>
    <n v="5281.46"/>
    <n v="4489.241"/>
  </r>
  <r>
    <n v="10277"/>
    <x v="80"/>
    <s v="Priya"/>
    <x v="7"/>
    <x v="1"/>
    <s v="Mouse"/>
    <n v="19"/>
    <n v="4017.26"/>
    <n v="0"/>
    <x v="1"/>
    <n v="76327.94"/>
    <n v="76327.94"/>
  </r>
  <r>
    <n v="10278"/>
    <x v="198"/>
    <s v="Ishaan"/>
    <x v="2"/>
    <x v="2"/>
    <s v="Pen"/>
    <n v="18"/>
    <n v="4002.33"/>
    <n v="5"/>
    <x v="2"/>
    <n v="72041.94"/>
    <n v="68439.843000000008"/>
  </r>
  <r>
    <n v="10279"/>
    <x v="81"/>
    <s v="Arjun"/>
    <x v="7"/>
    <x v="0"/>
    <s v="Rice"/>
    <n v="19"/>
    <n v="173.76"/>
    <n v="20"/>
    <x v="0"/>
    <n v="3301.4399999999996"/>
    <n v="2641.1519999999996"/>
  </r>
  <r>
    <n v="10280"/>
    <x v="199"/>
    <s v="Neha"/>
    <x v="7"/>
    <x v="3"/>
    <s v="Chair"/>
    <n v="14"/>
    <n v="4051.72"/>
    <n v="15"/>
    <x v="4"/>
    <n v="56724.079999999994"/>
    <n v="48215.467999999993"/>
  </r>
  <r>
    <n v="10281"/>
    <x v="116"/>
    <s v="Arjun"/>
    <x v="6"/>
    <x v="1"/>
    <s v="SSD"/>
    <n v="19"/>
    <n v="3587.63"/>
    <n v="10"/>
    <x v="4"/>
    <n v="68164.97"/>
    <n v="61348.472999999998"/>
  </r>
  <r>
    <n v="10282"/>
    <x v="200"/>
    <s v="Kabir"/>
    <x v="9"/>
    <x v="3"/>
    <s v="Desk"/>
    <n v="8"/>
    <n v="1225.97"/>
    <n v="15"/>
    <x v="1"/>
    <n v="9807.76"/>
    <n v="8336.5959999999995"/>
  </r>
  <r>
    <n v="10283"/>
    <x v="201"/>
    <s v="Meera"/>
    <x v="8"/>
    <x v="0"/>
    <s v="Sugar"/>
    <n v="2"/>
    <n v="3274.51"/>
    <n v="15"/>
    <x v="2"/>
    <n v="6549.02"/>
    <n v="5566.6670000000004"/>
  </r>
  <r>
    <n v="10284"/>
    <x v="202"/>
    <s v="Anaya"/>
    <x v="4"/>
    <x v="2"/>
    <s v="Pen"/>
    <n v="13"/>
    <n v="2658.4"/>
    <n v="20"/>
    <x v="1"/>
    <n v="34559.200000000004"/>
    <n v="27647.360000000004"/>
  </r>
  <r>
    <n v="10285"/>
    <x v="34"/>
    <s v="Diya"/>
    <x v="7"/>
    <x v="1"/>
    <s v="SSD"/>
    <n v="2"/>
    <n v="3021.89"/>
    <n v="0"/>
    <x v="1"/>
    <n v="6043.78"/>
    <n v="6043.78"/>
  </r>
  <r>
    <n v="10286"/>
    <x v="203"/>
    <s v="Diya"/>
    <x v="4"/>
    <x v="0"/>
    <s v="Rice"/>
    <n v="3"/>
    <n v="2865.17"/>
    <n v="20"/>
    <x v="2"/>
    <n v="8595.51"/>
    <n v="6876.4080000000004"/>
  </r>
  <r>
    <n v="10287"/>
    <x v="201"/>
    <s v="Vihaan"/>
    <x v="2"/>
    <x v="3"/>
    <s v="Cabinet"/>
    <n v="2"/>
    <n v="4650.6899999999996"/>
    <n v="10"/>
    <x v="2"/>
    <n v="9301.3799999999992"/>
    <n v="8371.2419999999984"/>
  </r>
  <r>
    <n v="10288"/>
    <x v="101"/>
    <s v="Diya"/>
    <x v="5"/>
    <x v="1"/>
    <s v="Keyboard"/>
    <n v="5"/>
    <n v="3658.09"/>
    <n v="10"/>
    <x v="0"/>
    <n v="18290.45"/>
    <n v="16461.404999999999"/>
  </r>
  <r>
    <n v="10289"/>
    <x v="160"/>
    <s v="Kabir"/>
    <x v="7"/>
    <x v="0"/>
    <s v="Coffee"/>
    <n v="12"/>
    <n v="4110.67"/>
    <n v="10"/>
    <x v="4"/>
    <n v="49328.04"/>
    <n v="44395.236000000004"/>
  </r>
  <r>
    <n v="10290"/>
    <x v="101"/>
    <s v="Rohan"/>
    <x v="2"/>
    <x v="1"/>
    <s v="Mouse"/>
    <n v="7"/>
    <n v="4856.88"/>
    <n v="5"/>
    <x v="4"/>
    <n v="33998.160000000003"/>
    <n v="32298.252000000004"/>
  </r>
  <r>
    <n v="10291"/>
    <x v="204"/>
    <s v="Arjun"/>
    <x v="0"/>
    <x v="2"/>
    <s v="Notebook"/>
    <n v="4"/>
    <n v="686.9"/>
    <n v="20"/>
    <x v="0"/>
    <n v="2747.6"/>
    <n v="2198.08"/>
  </r>
  <r>
    <n v="10292"/>
    <x v="73"/>
    <s v="Ishaan"/>
    <x v="4"/>
    <x v="1"/>
    <s v="Mouse"/>
    <n v="14"/>
    <n v="4939.4799999999996"/>
    <n v="0"/>
    <x v="2"/>
    <n v="69152.72"/>
    <n v="69152.72"/>
  </r>
  <r>
    <n v="10293"/>
    <x v="205"/>
    <s v="Anaya"/>
    <x v="6"/>
    <x v="3"/>
    <s v="Desk"/>
    <n v="5"/>
    <n v="112.97"/>
    <n v="20"/>
    <x v="3"/>
    <n v="564.85"/>
    <n v="451.88"/>
  </r>
  <r>
    <n v="10294"/>
    <x v="206"/>
    <s v="Sneha"/>
    <x v="1"/>
    <x v="1"/>
    <s v="Mouse"/>
    <n v="12"/>
    <n v="1110.03"/>
    <n v="20"/>
    <x v="1"/>
    <n v="13320.36"/>
    <n v="10656.288"/>
  </r>
  <r>
    <n v="10295"/>
    <x v="207"/>
    <s v="Arjun"/>
    <x v="5"/>
    <x v="1"/>
    <s v="SSD"/>
    <n v="16"/>
    <n v="3901.53"/>
    <n v="0"/>
    <x v="0"/>
    <n v="62424.480000000003"/>
    <n v="62424.480000000003"/>
  </r>
  <r>
    <n v="10296"/>
    <x v="208"/>
    <s v="Meera"/>
    <x v="2"/>
    <x v="3"/>
    <s v="Table"/>
    <n v="20"/>
    <n v="3728.86"/>
    <n v="0"/>
    <x v="0"/>
    <n v="74577.2"/>
    <n v="74577.2"/>
  </r>
  <r>
    <n v="10297"/>
    <x v="209"/>
    <s v="Anaya"/>
    <x v="1"/>
    <x v="1"/>
    <s v="SSD"/>
    <n v="10"/>
    <n v="4515.28"/>
    <n v="10"/>
    <x v="2"/>
    <n v="45152.799999999996"/>
    <n v="40637.519999999997"/>
  </r>
  <r>
    <n v="10298"/>
    <x v="210"/>
    <s v="Arjun"/>
    <x v="9"/>
    <x v="2"/>
    <s v="Notebook"/>
    <n v="19"/>
    <n v="266.16000000000003"/>
    <n v="10"/>
    <x v="2"/>
    <n v="5057.0400000000009"/>
    <n v="4551.3360000000011"/>
  </r>
  <r>
    <n v="10299"/>
    <x v="211"/>
    <s v="Priya"/>
    <x v="7"/>
    <x v="2"/>
    <s v="Stapler"/>
    <n v="16"/>
    <n v="3438.75"/>
    <n v="5"/>
    <x v="3"/>
    <n v="55020"/>
    <n v="52269"/>
  </r>
  <r>
    <n v="10300"/>
    <x v="212"/>
    <s v="Aarav"/>
    <x v="1"/>
    <x v="2"/>
    <s v="Notebook"/>
    <n v="15"/>
    <n v="1659.77"/>
    <n v="5"/>
    <x v="2"/>
    <n v="24896.55"/>
    <n v="23651.7225"/>
  </r>
  <r>
    <n v="10301"/>
    <x v="213"/>
    <s v="Ishaan"/>
    <x v="2"/>
    <x v="2"/>
    <s v="Marker"/>
    <n v="7"/>
    <n v="906.46"/>
    <n v="0"/>
    <x v="4"/>
    <n v="6345.22"/>
    <n v="6345.22"/>
  </r>
  <r>
    <n v="10302"/>
    <x v="209"/>
    <s v="Priya"/>
    <x v="7"/>
    <x v="2"/>
    <s v="Pen"/>
    <n v="6"/>
    <n v="418.4"/>
    <n v="10"/>
    <x v="1"/>
    <n v="2510.3999999999996"/>
    <n v="2259.3599999999997"/>
  </r>
  <r>
    <n v="10303"/>
    <x v="3"/>
    <s v="Priya"/>
    <x v="3"/>
    <x v="2"/>
    <s v="Stapler"/>
    <n v="9"/>
    <n v="1514.37"/>
    <n v="5"/>
    <x v="1"/>
    <n v="13629.329999999998"/>
    <n v="12947.863499999998"/>
  </r>
  <r>
    <n v="10304"/>
    <x v="187"/>
    <s v="Aarav"/>
    <x v="9"/>
    <x v="2"/>
    <s v="Stapler"/>
    <n v="9"/>
    <n v="1083.8499999999999"/>
    <n v="10"/>
    <x v="2"/>
    <n v="9754.65"/>
    <n v="8779.1849999999995"/>
  </r>
  <r>
    <n v="10305"/>
    <x v="121"/>
    <s v="Aarav"/>
    <x v="6"/>
    <x v="3"/>
    <s v="Desk"/>
    <n v="4"/>
    <n v="946.72"/>
    <n v="5"/>
    <x v="1"/>
    <n v="3786.88"/>
    <n v="3597.5360000000001"/>
  </r>
  <r>
    <n v="10306"/>
    <x v="214"/>
    <s v="Kabir"/>
    <x v="2"/>
    <x v="1"/>
    <s v="Monitor"/>
    <n v="16"/>
    <n v="3498.28"/>
    <n v="15"/>
    <x v="0"/>
    <n v="55972.480000000003"/>
    <n v="47576.608"/>
  </r>
  <r>
    <n v="10307"/>
    <x v="215"/>
    <s v="Anaya"/>
    <x v="1"/>
    <x v="3"/>
    <s v="Cabinet"/>
    <n v="20"/>
    <n v="3959.08"/>
    <n v="5"/>
    <x v="2"/>
    <n v="79181.600000000006"/>
    <n v="75222.52"/>
  </r>
  <r>
    <n v="10308"/>
    <x v="216"/>
    <s v="Ishaan"/>
    <x v="5"/>
    <x v="2"/>
    <s v="Notebook"/>
    <n v="10"/>
    <n v="1470.32"/>
    <n v="0"/>
    <x v="2"/>
    <n v="14703.199999999999"/>
    <n v="14703.199999999999"/>
  </r>
  <r>
    <n v="10309"/>
    <x v="64"/>
    <s v="Rohan"/>
    <x v="4"/>
    <x v="3"/>
    <s v="Cabinet"/>
    <n v="9"/>
    <n v="3534.72"/>
    <n v="20"/>
    <x v="2"/>
    <n v="31812.48"/>
    <n v="25449.984"/>
  </r>
  <r>
    <n v="10310"/>
    <x v="217"/>
    <s v="Arjun"/>
    <x v="8"/>
    <x v="2"/>
    <s v="Marker"/>
    <n v="4"/>
    <n v="3588.82"/>
    <n v="10"/>
    <x v="0"/>
    <n v="14355.28"/>
    <n v="12919.752"/>
  </r>
  <r>
    <n v="10311"/>
    <x v="89"/>
    <s v="Priya"/>
    <x v="3"/>
    <x v="0"/>
    <s v="Sugar"/>
    <n v="9"/>
    <n v="288.36"/>
    <n v="15"/>
    <x v="0"/>
    <n v="2595.2400000000002"/>
    <n v="2205.9540000000002"/>
  </r>
  <r>
    <n v="10312"/>
    <x v="218"/>
    <s v="Aarav"/>
    <x v="6"/>
    <x v="2"/>
    <s v="Pen"/>
    <n v="17"/>
    <n v="619.54999999999995"/>
    <n v="0"/>
    <x v="4"/>
    <n v="10532.349999999999"/>
    <n v="10532.349999999999"/>
  </r>
  <r>
    <n v="10313"/>
    <x v="183"/>
    <s v="Ishaan"/>
    <x v="7"/>
    <x v="1"/>
    <s v="Keyboard"/>
    <n v="5"/>
    <n v="901.16"/>
    <n v="0"/>
    <x v="0"/>
    <n v="4505.8"/>
    <n v="4505.8"/>
  </r>
  <r>
    <n v="10314"/>
    <x v="75"/>
    <s v="Aarav"/>
    <x v="5"/>
    <x v="1"/>
    <s v="Mouse"/>
    <n v="9"/>
    <n v="354.58"/>
    <n v="5"/>
    <x v="4"/>
    <n v="3191.22"/>
    <n v="3031.6589999999997"/>
  </r>
  <r>
    <n v="10315"/>
    <x v="205"/>
    <s v="Diya"/>
    <x v="2"/>
    <x v="3"/>
    <s v="Chair"/>
    <n v="18"/>
    <n v="2887.53"/>
    <n v="20"/>
    <x v="1"/>
    <n v="51975.54"/>
    <n v="41580.432000000001"/>
  </r>
  <r>
    <n v="10316"/>
    <x v="219"/>
    <s v="Diya"/>
    <x v="3"/>
    <x v="2"/>
    <s v="Stapler"/>
    <n v="15"/>
    <n v="372.09"/>
    <n v="5"/>
    <x v="4"/>
    <n v="5581.3499999999995"/>
    <n v="5302.2824999999993"/>
  </r>
  <r>
    <n v="10317"/>
    <x v="203"/>
    <s v="Kabir"/>
    <x v="1"/>
    <x v="2"/>
    <s v="Notebook"/>
    <n v="17"/>
    <n v="3988.47"/>
    <n v="5"/>
    <x v="4"/>
    <n v="67803.989999999991"/>
    <n v="64413.790499999988"/>
  </r>
  <r>
    <n v="10318"/>
    <x v="150"/>
    <s v="Sneha"/>
    <x v="3"/>
    <x v="3"/>
    <s v="Cabinet"/>
    <n v="20"/>
    <n v="1601.62"/>
    <n v="20"/>
    <x v="1"/>
    <n v="32032.399999999998"/>
    <n v="25625.919999999998"/>
  </r>
  <r>
    <n v="10319"/>
    <x v="220"/>
    <s v="Anaya"/>
    <x v="2"/>
    <x v="3"/>
    <s v="Desk"/>
    <n v="1"/>
    <n v="1195.22"/>
    <n v="5"/>
    <x v="4"/>
    <n v="1195.22"/>
    <n v="1135.4590000000001"/>
  </r>
  <r>
    <n v="10320"/>
    <x v="133"/>
    <s v="Arjun"/>
    <x v="8"/>
    <x v="1"/>
    <s v="Monitor"/>
    <n v="6"/>
    <n v="1315.08"/>
    <n v="0"/>
    <x v="2"/>
    <n v="7890.48"/>
    <n v="7890.48"/>
  </r>
  <r>
    <n v="10321"/>
    <x v="123"/>
    <s v="Vihaan"/>
    <x v="8"/>
    <x v="3"/>
    <s v="Chair"/>
    <n v="5"/>
    <n v="996.81"/>
    <n v="0"/>
    <x v="0"/>
    <n v="4984.0499999999993"/>
    <n v="4984.0499999999993"/>
  </r>
  <r>
    <n v="10322"/>
    <x v="221"/>
    <s v="Anaya"/>
    <x v="3"/>
    <x v="1"/>
    <s v="SSD"/>
    <n v="11"/>
    <n v="4411.74"/>
    <n v="10"/>
    <x v="0"/>
    <n v="48529.14"/>
    <n v="43676.225999999995"/>
  </r>
  <r>
    <n v="10323"/>
    <x v="188"/>
    <s v="Vihaan"/>
    <x v="7"/>
    <x v="0"/>
    <s v="Sugar"/>
    <n v="14"/>
    <n v="53.45"/>
    <n v="5"/>
    <x v="4"/>
    <n v="748.30000000000007"/>
    <n v="710.8850000000001"/>
  </r>
  <r>
    <n v="10324"/>
    <x v="132"/>
    <s v="Arjun"/>
    <x v="1"/>
    <x v="2"/>
    <s v="Stapler"/>
    <n v="18"/>
    <n v="3546.07"/>
    <n v="15"/>
    <x v="1"/>
    <n v="63829.26"/>
    <n v="54254.870999999999"/>
  </r>
  <r>
    <n v="10325"/>
    <x v="128"/>
    <s v="Sneha"/>
    <x v="2"/>
    <x v="0"/>
    <s v="Tea"/>
    <n v="8"/>
    <n v="3024.55"/>
    <n v="15"/>
    <x v="2"/>
    <n v="24196.400000000001"/>
    <n v="20566.940000000002"/>
  </r>
  <r>
    <n v="10326"/>
    <x v="222"/>
    <s v="Sneha"/>
    <x v="5"/>
    <x v="1"/>
    <s v="Monitor"/>
    <n v="14"/>
    <n v="2971.55"/>
    <n v="20"/>
    <x v="0"/>
    <n v="41601.700000000004"/>
    <n v="33281.360000000001"/>
  </r>
  <r>
    <n v="10327"/>
    <x v="223"/>
    <s v="Arjun"/>
    <x v="2"/>
    <x v="0"/>
    <s v="Tea"/>
    <n v="15"/>
    <n v="2384.77"/>
    <n v="20"/>
    <x v="4"/>
    <n v="35771.550000000003"/>
    <n v="28617.24"/>
  </r>
  <r>
    <n v="10328"/>
    <x v="224"/>
    <s v="Vihaan"/>
    <x v="5"/>
    <x v="1"/>
    <s v="Mouse"/>
    <n v="4"/>
    <n v="3719.94"/>
    <n v="15"/>
    <x v="4"/>
    <n v="14879.76"/>
    <n v="12647.796"/>
  </r>
  <r>
    <n v="10329"/>
    <x v="201"/>
    <s v="Priya"/>
    <x v="7"/>
    <x v="0"/>
    <s v="Sugar"/>
    <n v="6"/>
    <n v="906.24"/>
    <n v="5"/>
    <x v="0"/>
    <n v="5437.4400000000005"/>
    <n v="5165.5680000000002"/>
  </r>
  <r>
    <n v="10330"/>
    <x v="217"/>
    <s v="Meera"/>
    <x v="1"/>
    <x v="3"/>
    <s v="Desk"/>
    <n v="18"/>
    <n v="3544.36"/>
    <n v="15"/>
    <x v="1"/>
    <n v="63798.48"/>
    <n v="54228.707999999999"/>
  </r>
  <r>
    <n v="10331"/>
    <x v="225"/>
    <s v="Rohan"/>
    <x v="9"/>
    <x v="3"/>
    <s v="Chair"/>
    <n v="20"/>
    <n v="3881.42"/>
    <n v="20"/>
    <x v="3"/>
    <n v="77628.399999999994"/>
    <n v="62102.719999999994"/>
  </r>
  <r>
    <n v="10332"/>
    <x v="83"/>
    <s v="Vihaan"/>
    <x v="6"/>
    <x v="3"/>
    <s v="Table"/>
    <n v="10"/>
    <n v="3041.48"/>
    <n v="10"/>
    <x v="3"/>
    <n v="30414.799999999999"/>
    <n v="27373.32"/>
  </r>
  <r>
    <n v="10333"/>
    <x v="226"/>
    <s v="Diya"/>
    <x v="0"/>
    <x v="1"/>
    <s v="Mouse"/>
    <n v="11"/>
    <n v="2298.02"/>
    <n v="5"/>
    <x v="1"/>
    <n v="25278.22"/>
    <n v="24014.309000000001"/>
  </r>
  <r>
    <n v="10334"/>
    <x v="227"/>
    <s v="Kabir"/>
    <x v="4"/>
    <x v="1"/>
    <s v="Mouse"/>
    <n v="15"/>
    <n v="4311.97"/>
    <n v="15"/>
    <x v="1"/>
    <n v="64679.55"/>
    <n v="54977.6175"/>
  </r>
  <r>
    <n v="10335"/>
    <x v="228"/>
    <s v="Diya"/>
    <x v="5"/>
    <x v="3"/>
    <s v="Table"/>
    <n v="7"/>
    <n v="4920.38"/>
    <n v="15"/>
    <x v="2"/>
    <n v="34442.660000000003"/>
    <n v="29276.261000000002"/>
  </r>
  <r>
    <n v="10336"/>
    <x v="26"/>
    <s v="Kabir"/>
    <x v="7"/>
    <x v="1"/>
    <s v="Monitor"/>
    <n v="14"/>
    <n v="4049.14"/>
    <n v="10"/>
    <x v="0"/>
    <n v="56687.96"/>
    <n v="51019.163999999997"/>
  </r>
  <r>
    <n v="10337"/>
    <x v="107"/>
    <s v="Ishaan"/>
    <x v="0"/>
    <x v="2"/>
    <s v="Marker"/>
    <n v="7"/>
    <n v="4474.88"/>
    <n v="10"/>
    <x v="4"/>
    <n v="31324.16"/>
    <n v="28191.743999999999"/>
  </r>
  <r>
    <n v="10338"/>
    <x v="127"/>
    <s v="Ishaan"/>
    <x v="2"/>
    <x v="0"/>
    <s v="Coffee"/>
    <n v="17"/>
    <n v="2675.44"/>
    <n v="20"/>
    <x v="4"/>
    <n v="45482.48"/>
    <n v="36385.984000000004"/>
  </r>
  <r>
    <n v="10339"/>
    <x v="229"/>
    <s v="Meera"/>
    <x v="4"/>
    <x v="2"/>
    <s v="Notebook"/>
    <n v="3"/>
    <n v="4333.07"/>
    <n v="5"/>
    <x v="2"/>
    <n v="12999.21"/>
    <n v="12349.2495"/>
  </r>
  <r>
    <n v="10340"/>
    <x v="200"/>
    <s v="Vihaan"/>
    <x v="2"/>
    <x v="2"/>
    <s v="Pen"/>
    <n v="14"/>
    <n v="3144.55"/>
    <n v="10"/>
    <x v="0"/>
    <n v="44023.700000000004"/>
    <n v="39621.33"/>
  </r>
  <r>
    <n v="10341"/>
    <x v="23"/>
    <s v="Meera"/>
    <x v="0"/>
    <x v="1"/>
    <s v="Keyboard"/>
    <n v="12"/>
    <n v="3812.41"/>
    <n v="0"/>
    <x v="2"/>
    <n v="45748.92"/>
    <n v="45748.92"/>
  </r>
  <r>
    <n v="10342"/>
    <x v="186"/>
    <s v="Priya"/>
    <x v="9"/>
    <x v="2"/>
    <s v="Stapler"/>
    <n v="10"/>
    <n v="679.76"/>
    <n v="20"/>
    <x v="0"/>
    <n v="6797.6"/>
    <n v="5438.08"/>
  </r>
  <r>
    <n v="10343"/>
    <x v="2"/>
    <s v="Kabir"/>
    <x v="8"/>
    <x v="0"/>
    <s v="Coffee"/>
    <n v="10"/>
    <n v="4762.7299999999996"/>
    <n v="0"/>
    <x v="0"/>
    <n v="47627.299999999996"/>
    <n v="47627.299999999996"/>
  </r>
  <r>
    <n v="10344"/>
    <x v="192"/>
    <s v="Vihaan"/>
    <x v="7"/>
    <x v="3"/>
    <s v="Chair"/>
    <n v="3"/>
    <n v="908.43"/>
    <n v="15"/>
    <x v="0"/>
    <n v="2725.29"/>
    <n v="2316.4965000000002"/>
  </r>
  <r>
    <n v="10345"/>
    <x v="204"/>
    <s v="Neha"/>
    <x v="6"/>
    <x v="1"/>
    <s v="Monitor"/>
    <n v="20"/>
    <n v="3140.61"/>
    <n v="20"/>
    <x v="3"/>
    <n v="62812.200000000004"/>
    <n v="50249.760000000002"/>
  </r>
  <r>
    <n v="10346"/>
    <x v="230"/>
    <s v="Rohan"/>
    <x v="2"/>
    <x v="3"/>
    <s v="Table"/>
    <n v="16"/>
    <n v="346.02"/>
    <n v="20"/>
    <x v="0"/>
    <n v="5536.32"/>
    <n v="4429.0559999999996"/>
  </r>
  <r>
    <n v="10347"/>
    <x v="10"/>
    <s v="Arjun"/>
    <x v="7"/>
    <x v="0"/>
    <s v="Sugar"/>
    <n v="6"/>
    <n v="4153.09"/>
    <n v="10"/>
    <x v="0"/>
    <n v="24918.54"/>
    <n v="22426.686000000002"/>
  </r>
  <r>
    <n v="10348"/>
    <x v="70"/>
    <s v="Vihaan"/>
    <x v="2"/>
    <x v="1"/>
    <s v="Monitor"/>
    <n v="15"/>
    <n v="4991.5600000000004"/>
    <n v="15"/>
    <x v="3"/>
    <n v="74873.400000000009"/>
    <n v="63642.390000000007"/>
  </r>
  <r>
    <n v="10349"/>
    <x v="231"/>
    <s v="Meera"/>
    <x v="7"/>
    <x v="0"/>
    <s v="Rice"/>
    <n v="19"/>
    <n v="4103.16"/>
    <n v="10"/>
    <x v="2"/>
    <n v="77960.039999999994"/>
    <n v="70164.035999999993"/>
  </r>
  <r>
    <n v="10350"/>
    <x v="232"/>
    <s v="Neha"/>
    <x v="7"/>
    <x v="3"/>
    <s v="Desk"/>
    <n v="6"/>
    <n v="1384.2"/>
    <n v="20"/>
    <x v="3"/>
    <n v="8305.2000000000007"/>
    <n v="6644.1600000000008"/>
  </r>
  <r>
    <n v="10351"/>
    <x v="36"/>
    <s v="Arjun"/>
    <x v="5"/>
    <x v="2"/>
    <s v="Stapler"/>
    <n v="7"/>
    <n v="315.95"/>
    <n v="5"/>
    <x v="0"/>
    <n v="2211.65"/>
    <n v="2101.0675000000001"/>
  </r>
  <r>
    <n v="10352"/>
    <x v="5"/>
    <s v="Vihaan"/>
    <x v="2"/>
    <x v="0"/>
    <s v="Sugar"/>
    <n v="3"/>
    <n v="142.71"/>
    <n v="15"/>
    <x v="4"/>
    <n v="428.13"/>
    <n v="363.91050000000001"/>
  </r>
  <r>
    <n v="10353"/>
    <x v="233"/>
    <s v="Sneha"/>
    <x v="2"/>
    <x v="3"/>
    <s v="Chair"/>
    <n v="16"/>
    <n v="3487.48"/>
    <n v="0"/>
    <x v="2"/>
    <n v="55799.68"/>
    <n v="55799.68"/>
  </r>
  <r>
    <n v="10354"/>
    <x v="12"/>
    <s v="Kabir"/>
    <x v="7"/>
    <x v="1"/>
    <s v="Monitor"/>
    <n v="1"/>
    <n v="3493.23"/>
    <n v="5"/>
    <x v="3"/>
    <n v="3493.23"/>
    <n v="3318.5684999999999"/>
  </r>
  <r>
    <n v="10355"/>
    <x v="234"/>
    <s v="Diya"/>
    <x v="8"/>
    <x v="1"/>
    <s v="Keyboard"/>
    <n v="15"/>
    <n v="1718.89"/>
    <n v="20"/>
    <x v="1"/>
    <n v="25783.350000000002"/>
    <n v="20626.68"/>
  </r>
  <r>
    <n v="10356"/>
    <x v="175"/>
    <s v="Diya"/>
    <x v="7"/>
    <x v="1"/>
    <s v="Monitor"/>
    <n v="6"/>
    <n v="2702.05"/>
    <n v="10"/>
    <x v="1"/>
    <n v="16212.300000000001"/>
    <n v="14591.070000000002"/>
  </r>
  <r>
    <n v="10357"/>
    <x v="168"/>
    <s v="Meera"/>
    <x v="2"/>
    <x v="3"/>
    <s v="Table"/>
    <n v="8"/>
    <n v="4876.7"/>
    <n v="5"/>
    <x v="1"/>
    <n v="39013.599999999999"/>
    <n v="37062.92"/>
  </r>
  <r>
    <n v="10358"/>
    <x v="147"/>
    <s v="Sneha"/>
    <x v="7"/>
    <x v="2"/>
    <s v="Notebook"/>
    <n v="10"/>
    <n v="1566.12"/>
    <n v="0"/>
    <x v="1"/>
    <n v="15661.199999999999"/>
    <n v="15661.199999999999"/>
  </r>
  <r>
    <n v="10359"/>
    <x v="77"/>
    <s v="Ishaan"/>
    <x v="0"/>
    <x v="2"/>
    <s v="Marker"/>
    <n v="12"/>
    <n v="1932.12"/>
    <n v="20"/>
    <x v="3"/>
    <n v="23185.439999999999"/>
    <n v="18548.351999999999"/>
  </r>
  <r>
    <n v="10360"/>
    <x v="12"/>
    <s v="Diya"/>
    <x v="3"/>
    <x v="2"/>
    <s v="Pen"/>
    <n v="16"/>
    <n v="1237.6600000000001"/>
    <n v="15"/>
    <x v="0"/>
    <n v="19802.560000000001"/>
    <n v="16832.175999999999"/>
  </r>
  <r>
    <n v="10361"/>
    <x v="60"/>
    <s v="Meera"/>
    <x v="4"/>
    <x v="0"/>
    <s v="Rice"/>
    <n v="16"/>
    <n v="2524.0100000000002"/>
    <n v="0"/>
    <x v="4"/>
    <n v="40384.160000000003"/>
    <n v="40384.160000000003"/>
  </r>
  <r>
    <n v="10362"/>
    <x v="94"/>
    <s v="Sneha"/>
    <x v="7"/>
    <x v="3"/>
    <s v="Desk"/>
    <n v="5"/>
    <n v="3385.77"/>
    <n v="10"/>
    <x v="0"/>
    <n v="16928.849999999999"/>
    <n v="15235.964999999998"/>
  </r>
  <r>
    <n v="10363"/>
    <x v="235"/>
    <s v="Sneha"/>
    <x v="5"/>
    <x v="2"/>
    <s v="Notebook"/>
    <n v="6"/>
    <n v="546.11"/>
    <n v="0"/>
    <x v="4"/>
    <n v="3276.66"/>
    <n v="3276.66"/>
  </r>
  <r>
    <n v="10364"/>
    <x v="236"/>
    <s v="Anaya"/>
    <x v="4"/>
    <x v="2"/>
    <s v="Marker"/>
    <n v="2"/>
    <n v="4650.67"/>
    <n v="0"/>
    <x v="2"/>
    <n v="9301.34"/>
    <n v="9301.34"/>
  </r>
  <r>
    <n v="10365"/>
    <x v="237"/>
    <s v="Vihaan"/>
    <x v="4"/>
    <x v="2"/>
    <s v="Marker"/>
    <n v="3"/>
    <n v="3028.64"/>
    <n v="20"/>
    <x v="1"/>
    <n v="9085.92"/>
    <n v="7268.7359999999999"/>
  </r>
  <r>
    <n v="10366"/>
    <x v="238"/>
    <s v="Vihaan"/>
    <x v="1"/>
    <x v="3"/>
    <s v="Cabinet"/>
    <n v="6"/>
    <n v="2022.85"/>
    <n v="20"/>
    <x v="1"/>
    <n v="12137.099999999999"/>
    <n v="9709.6799999999985"/>
  </r>
  <r>
    <n v="10367"/>
    <x v="21"/>
    <s v="Vihaan"/>
    <x v="9"/>
    <x v="1"/>
    <s v="Keyboard"/>
    <n v="13"/>
    <n v="4082.94"/>
    <n v="20"/>
    <x v="0"/>
    <n v="53078.22"/>
    <n v="42462.576000000001"/>
  </r>
  <r>
    <n v="10368"/>
    <x v="135"/>
    <s v="Anaya"/>
    <x v="4"/>
    <x v="2"/>
    <s v="Stapler"/>
    <n v="9"/>
    <n v="1635.4"/>
    <n v="20"/>
    <x v="4"/>
    <n v="14718.6"/>
    <n v="11774.880000000001"/>
  </r>
  <r>
    <n v="10369"/>
    <x v="127"/>
    <s v="Aarav"/>
    <x v="4"/>
    <x v="0"/>
    <s v="Rice"/>
    <n v="8"/>
    <n v="4563.79"/>
    <n v="5"/>
    <x v="2"/>
    <n v="36510.32"/>
    <n v="34684.803999999996"/>
  </r>
  <r>
    <n v="10370"/>
    <x v="133"/>
    <s v="Anaya"/>
    <x v="8"/>
    <x v="3"/>
    <s v="Desk"/>
    <n v="12"/>
    <n v="2341.96"/>
    <n v="10"/>
    <x v="2"/>
    <n v="28103.52"/>
    <n v="25293.168000000001"/>
  </r>
  <r>
    <n v="10371"/>
    <x v="3"/>
    <s v="Sneha"/>
    <x v="4"/>
    <x v="0"/>
    <s v="Coffee"/>
    <n v="19"/>
    <n v="4482.6899999999996"/>
    <n v="15"/>
    <x v="3"/>
    <n v="85171.109999999986"/>
    <n v="72395.443499999994"/>
  </r>
  <r>
    <n v="10372"/>
    <x v="239"/>
    <s v="Diya"/>
    <x v="5"/>
    <x v="2"/>
    <s v="Marker"/>
    <n v="3"/>
    <n v="4317.07"/>
    <n v="15"/>
    <x v="4"/>
    <n v="12951.21"/>
    <n v="11008.528499999999"/>
  </r>
  <r>
    <n v="10373"/>
    <x v="240"/>
    <s v="Diya"/>
    <x v="6"/>
    <x v="2"/>
    <s v="Pen"/>
    <n v="20"/>
    <n v="3730.67"/>
    <n v="20"/>
    <x v="1"/>
    <n v="74613.399999999994"/>
    <n v="59690.719999999994"/>
  </r>
  <r>
    <n v="10374"/>
    <x v="39"/>
    <s v="Diya"/>
    <x v="8"/>
    <x v="3"/>
    <s v="Table"/>
    <n v="11"/>
    <n v="1117.1600000000001"/>
    <n v="15"/>
    <x v="4"/>
    <n v="12288.76"/>
    <n v="10445.446"/>
  </r>
  <r>
    <n v="10375"/>
    <x v="151"/>
    <s v="Meera"/>
    <x v="4"/>
    <x v="0"/>
    <s v="Rice"/>
    <n v="3"/>
    <n v="2113.4"/>
    <n v="0"/>
    <x v="4"/>
    <n v="6340.2000000000007"/>
    <n v="6340.2000000000007"/>
  </r>
  <r>
    <n v="10376"/>
    <x v="241"/>
    <s v="Diya"/>
    <x v="2"/>
    <x v="2"/>
    <s v="Pen"/>
    <n v="1"/>
    <n v="2165.14"/>
    <n v="15"/>
    <x v="3"/>
    <n v="2165.14"/>
    <n v="1840.3689999999999"/>
  </r>
  <r>
    <n v="10377"/>
    <x v="242"/>
    <s v="Aarav"/>
    <x v="1"/>
    <x v="3"/>
    <s v="Chair"/>
    <n v="16"/>
    <n v="1398.82"/>
    <n v="0"/>
    <x v="2"/>
    <n v="22381.119999999999"/>
    <n v="22381.119999999999"/>
  </r>
  <r>
    <n v="10378"/>
    <x v="108"/>
    <s v="Priya"/>
    <x v="8"/>
    <x v="3"/>
    <s v="Table"/>
    <n v="6"/>
    <n v="137.65"/>
    <n v="15"/>
    <x v="2"/>
    <n v="825.90000000000009"/>
    <n v="702.0150000000001"/>
  </r>
  <r>
    <n v="10379"/>
    <x v="20"/>
    <s v="Meera"/>
    <x v="8"/>
    <x v="1"/>
    <s v="Monitor"/>
    <n v="1"/>
    <n v="1468.49"/>
    <n v="20"/>
    <x v="4"/>
    <n v="1468.49"/>
    <n v="1174.7919999999999"/>
  </r>
  <r>
    <n v="10380"/>
    <x v="212"/>
    <s v="Ishaan"/>
    <x v="5"/>
    <x v="3"/>
    <s v="Cabinet"/>
    <n v="3"/>
    <n v="1654.15"/>
    <n v="0"/>
    <x v="4"/>
    <n v="4962.4500000000007"/>
    <n v="4962.4500000000007"/>
  </r>
  <r>
    <n v="10381"/>
    <x v="243"/>
    <s v="Arjun"/>
    <x v="2"/>
    <x v="1"/>
    <s v="Monitor"/>
    <n v="13"/>
    <n v="3021.24"/>
    <n v="10"/>
    <x v="0"/>
    <n v="39276.119999999995"/>
    <n v="35348.507999999994"/>
  </r>
  <r>
    <n v="10382"/>
    <x v="199"/>
    <s v="Meera"/>
    <x v="5"/>
    <x v="1"/>
    <s v="Keyboard"/>
    <n v="13"/>
    <n v="3073.62"/>
    <n v="15"/>
    <x v="1"/>
    <n v="39957.06"/>
    <n v="33963.500999999997"/>
  </r>
  <r>
    <n v="10383"/>
    <x v="27"/>
    <s v="Rohan"/>
    <x v="0"/>
    <x v="3"/>
    <s v="Chair"/>
    <n v="14"/>
    <n v="3651.08"/>
    <n v="0"/>
    <x v="0"/>
    <n v="51115.119999999995"/>
    <n v="51115.119999999995"/>
  </r>
  <r>
    <n v="10384"/>
    <x v="244"/>
    <s v="Arjun"/>
    <x v="1"/>
    <x v="1"/>
    <s v="Mouse"/>
    <n v="8"/>
    <n v="1834.72"/>
    <n v="5"/>
    <x v="1"/>
    <n v="14677.76"/>
    <n v="13943.871999999999"/>
  </r>
  <r>
    <n v="10385"/>
    <x v="245"/>
    <s v="Anaya"/>
    <x v="6"/>
    <x v="1"/>
    <s v="Mouse"/>
    <n v="14"/>
    <n v="3718.49"/>
    <n v="15"/>
    <x v="3"/>
    <n v="52058.86"/>
    <n v="44250.031000000003"/>
  </r>
  <r>
    <n v="10386"/>
    <x v="119"/>
    <s v="Rohan"/>
    <x v="3"/>
    <x v="0"/>
    <s v="Sugar"/>
    <n v="15"/>
    <n v="3767.15"/>
    <n v="10"/>
    <x v="0"/>
    <n v="56507.25"/>
    <n v="50856.525000000001"/>
  </r>
  <r>
    <n v="10387"/>
    <x v="121"/>
    <s v="Kabir"/>
    <x v="6"/>
    <x v="1"/>
    <s v="Keyboard"/>
    <n v="5"/>
    <n v="4144.37"/>
    <n v="5"/>
    <x v="2"/>
    <n v="20721.849999999999"/>
    <n v="19685.7575"/>
  </r>
  <r>
    <n v="10388"/>
    <x v="207"/>
    <s v="Arjun"/>
    <x v="8"/>
    <x v="3"/>
    <s v="Chair"/>
    <n v="15"/>
    <n v="1484.17"/>
    <n v="5"/>
    <x v="1"/>
    <n v="22262.550000000003"/>
    <n v="21149.422500000004"/>
  </r>
  <r>
    <n v="10389"/>
    <x v="186"/>
    <s v="Rohan"/>
    <x v="7"/>
    <x v="0"/>
    <s v="Rice"/>
    <n v="5"/>
    <n v="1647.81"/>
    <n v="20"/>
    <x v="4"/>
    <n v="8239.0499999999993"/>
    <n v="6591.24"/>
  </r>
  <r>
    <n v="10390"/>
    <x v="245"/>
    <s v="Sneha"/>
    <x v="7"/>
    <x v="0"/>
    <s v="Sugar"/>
    <n v="1"/>
    <n v="3301.12"/>
    <n v="20"/>
    <x v="1"/>
    <n v="3301.12"/>
    <n v="2640.8959999999997"/>
  </r>
  <r>
    <n v="10391"/>
    <x v="246"/>
    <s v="Aarav"/>
    <x v="2"/>
    <x v="1"/>
    <s v="SSD"/>
    <n v="8"/>
    <n v="3073.06"/>
    <n v="20"/>
    <x v="3"/>
    <n v="24584.48"/>
    <n v="19667.583999999999"/>
  </r>
  <r>
    <n v="10392"/>
    <x v="247"/>
    <s v="Rohan"/>
    <x v="7"/>
    <x v="0"/>
    <s v="Coffee"/>
    <n v="10"/>
    <n v="1822.59"/>
    <n v="20"/>
    <x v="0"/>
    <n v="18225.899999999998"/>
    <n v="14580.719999999998"/>
  </r>
  <r>
    <n v="10393"/>
    <x v="248"/>
    <s v="Meera"/>
    <x v="3"/>
    <x v="2"/>
    <s v="Marker"/>
    <n v="13"/>
    <n v="658.09"/>
    <n v="0"/>
    <x v="1"/>
    <n v="8555.17"/>
    <n v="8555.17"/>
  </r>
  <r>
    <n v="10394"/>
    <x v="190"/>
    <s v="Priya"/>
    <x v="8"/>
    <x v="0"/>
    <s v="Tea"/>
    <n v="19"/>
    <n v="4292.91"/>
    <n v="0"/>
    <x v="1"/>
    <n v="81565.289999999994"/>
    <n v="81565.289999999994"/>
  </r>
  <r>
    <n v="10395"/>
    <x v="249"/>
    <s v="Vihaan"/>
    <x v="9"/>
    <x v="2"/>
    <s v="Marker"/>
    <n v="14"/>
    <n v="557.24"/>
    <n v="10"/>
    <x v="0"/>
    <n v="7801.3600000000006"/>
    <n v="7021.2240000000002"/>
  </r>
  <r>
    <n v="10396"/>
    <x v="110"/>
    <s v="Vihaan"/>
    <x v="7"/>
    <x v="2"/>
    <s v="Notebook"/>
    <n v="9"/>
    <n v="3252.54"/>
    <n v="10"/>
    <x v="0"/>
    <n v="29272.86"/>
    <n v="26345.574000000001"/>
  </r>
  <r>
    <n v="10397"/>
    <x v="0"/>
    <s v="Rohan"/>
    <x v="3"/>
    <x v="0"/>
    <s v="Coffee"/>
    <n v="11"/>
    <n v="491.91"/>
    <n v="20"/>
    <x v="3"/>
    <n v="5411.01"/>
    <n v="4328.808"/>
  </r>
  <r>
    <n v="10398"/>
    <x v="154"/>
    <s v="Meera"/>
    <x v="0"/>
    <x v="3"/>
    <s v="Table"/>
    <n v="8"/>
    <n v="2863.94"/>
    <n v="10"/>
    <x v="4"/>
    <n v="22911.52"/>
    <n v="20620.368000000002"/>
  </r>
  <r>
    <n v="10399"/>
    <x v="201"/>
    <s v="Anaya"/>
    <x v="3"/>
    <x v="1"/>
    <s v="Monitor"/>
    <n v="12"/>
    <n v="4526.3100000000004"/>
    <n v="20"/>
    <x v="2"/>
    <n v="54315.72"/>
    <n v="43452.576000000001"/>
  </r>
  <r>
    <n v="10400"/>
    <x v="250"/>
    <s v="Priya"/>
    <x v="5"/>
    <x v="2"/>
    <s v="Notebook"/>
    <n v="20"/>
    <n v="819.81"/>
    <n v="20"/>
    <x v="2"/>
    <n v="16396.199999999997"/>
    <n v="13116.959999999997"/>
  </r>
  <r>
    <n v="10401"/>
    <x v="209"/>
    <s v="Rohan"/>
    <x v="1"/>
    <x v="3"/>
    <s v="Chair"/>
    <n v="11"/>
    <n v="4764.49"/>
    <n v="15"/>
    <x v="2"/>
    <n v="52409.39"/>
    <n v="44547.981500000002"/>
  </r>
  <r>
    <n v="10402"/>
    <x v="222"/>
    <s v="Vihaan"/>
    <x v="3"/>
    <x v="2"/>
    <s v="Pen"/>
    <n v="3"/>
    <n v="3309.66"/>
    <n v="15"/>
    <x v="0"/>
    <n v="9928.98"/>
    <n v="8439.6329999999998"/>
  </r>
  <r>
    <n v="10403"/>
    <x v="251"/>
    <s v="Sneha"/>
    <x v="5"/>
    <x v="0"/>
    <s v="Sugar"/>
    <n v="17"/>
    <n v="3674.24"/>
    <n v="15"/>
    <x v="1"/>
    <n v="62462.079999999994"/>
    <n v="53092.767999999996"/>
  </r>
  <r>
    <n v="10404"/>
    <x v="2"/>
    <s v="Priya"/>
    <x v="2"/>
    <x v="1"/>
    <s v="Keyboard"/>
    <n v="12"/>
    <n v="80.599999999999994"/>
    <n v="15"/>
    <x v="0"/>
    <n v="967.19999999999993"/>
    <n v="822.11999999999989"/>
  </r>
  <r>
    <n v="10405"/>
    <x v="63"/>
    <s v="Diya"/>
    <x v="3"/>
    <x v="3"/>
    <s v="Cabinet"/>
    <n v="14"/>
    <n v="4500.47"/>
    <n v="20"/>
    <x v="1"/>
    <n v="63006.58"/>
    <n v="50405.264000000003"/>
  </r>
  <r>
    <n v="10406"/>
    <x v="252"/>
    <s v="Kabir"/>
    <x v="9"/>
    <x v="0"/>
    <s v="Coffee"/>
    <n v="12"/>
    <n v="4018.61"/>
    <n v="20"/>
    <x v="4"/>
    <n v="48223.32"/>
    <n v="38578.656000000003"/>
  </r>
  <r>
    <n v="10407"/>
    <x v="180"/>
    <s v="Meera"/>
    <x v="4"/>
    <x v="3"/>
    <s v="Cabinet"/>
    <n v="9"/>
    <n v="347.75"/>
    <n v="10"/>
    <x v="0"/>
    <n v="3129.75"/>
    <n v="2816.7750000000001"/>
  </r>
  <r>
    <n v="10408"/>
    <x v="74"/>
    <s v="Meera"/>
    <x v="0"/>
    <x v="3"/>
    <s v="Cabinet"/>
    <n v="10"/>
    <n v="4708.66"/>
    <n v="20"/>
    <x v="2"/>
    <n v="47086.6"/>
    <n v="37669.279999999999"/>
  </r>
  <r>
    <n v="10409"/>
    <x v="67"/>
    <s v="Arjun"/>
    <x v="4"/>
    <x v="0"/>
    <s v="Coffee"/>
    <n v="5"/>
    <n v="2813.73"/>
    <n v="15"/>
    <x v="4"/>
    <n v="14068.65"/>
    <n v="11958.352499999999"/>
  </r>
  <r>
    <n v="10410"/>
    <x v="253"/>
    <s v="Rohan"/>
    <x v="8"/>
    <x v="0"/>
    <s v="Tea"/>
    <n v="16"/>
    <n v="401.67"/>
    <n v="20"/>
    <x v="2"/>
    <n v="6426.72"/>
    <n v="5141.3760000000002"/>
  </r>
  <r>
    <n v="10411"/>
    <x v="254"/>
    <s v="Meera"/>
    <x v="6"/>
    <x v="0"/>
    <s v="Tea"/>
    <n v="12"/>
    <n v="2757.96"/>
    <n v="0"/>
    <x v="1"/>
    <n v="33095.520000000004"/>
    <n v="33095.520000000004"/>
  </r>
  <r>
    <n v="10412"/>
    <x v="173"/>
    <s v="Neha"/>
    <x v="8"/>
    <x v="0"/>
    <s v="Tea"/>
    <n v="7"/>
    <n v="1357.72"/>
    <n v="20"/>
    <x v="0"/>
    <n v="9504.0400000000009"/>
    <n v="7603.2320000000009"/>
  </r>
  <r>
    <n v="10413"/>
    <x v="162"/>
    <s v="Sneha"/>
    <x v="2"/>
    <x v="3"/>
    <s v="Chair"/>
    <n v="16"/>
    <n v="468"/>
    <n v="15"/>
    <x v="3"/>
    <n v="7488"/>
    <n v="6364.8"/>
  </r>
  <r>
    <n v="10414"/>
    <x v="42"/>
    <s v="Vihaan"/>
    <x v="2"/>
    <x v="0"/>
    <s v="Tea"/>
    <n v="4"/>
    <n v="2117.8200000000002"/>
    <n v="5"/>
    <x v="1"/>
    <n v="8471.2800000000007"/>
    <n v="8047.7160000000003"/>
  </r>
  <r>
    <n v="10415"/>
    <x v="235"/>
    <s v="Aarav"/>
    <x v="5"/>
    <x v="1"/>
    <s v="SSD"/>
    <n v="20"/>
    <n v="3429.67"/>
    <n v="0"/>
    <x v="2"/>
    <n v="68593.399999999994"/>
    <n v="68593.399999999994"/>
  </r>
  <r>
    <n v="10416"/>
    <x v="98"/>
    <s v="Anaya"/>
    <x v="1"/>
    <x v="3"/>
    <s v="Chair"/>
    <n v="4"/>
    <n v="461.72"/>
    <n v="15"/>
    <x v="4"/>
    <n v="1846.88"/>
    <n v="1569.8480000000002"/>
  </r>
  <r>
    <n v="10417"/>
    <x v="150"/>
    <s v="Meera"/>
    <x v="6"/>
    <x v="2"/>
    <s v="Marker"/>
    <n v="19"/>
    <n v="3662.3"/>
    <n v="10"/>
    <x v="0"/>
    <n v="69583.7"/>
    <n v="62625.329999999994"/>
  </r>
  <r>
    <n v="10418"/>
    <x v="81"/>
    <s v="Sneha"/>
    <x v="0"/>
    <x v="1"/>
    <s v="Monitor"/>
    <n v="10"/>
    <n v="4131.0600000000004"/>
    <n v="10"/>
    <x v="2"/>
    <n v="41310.600000000006"/>
    <n v="37179.540000000008"/>
  </r>
  <r>
    <n v="10419"/>
    <x v="129"/>
    <s v="Priya"/>
    <x v="3"/>
    <x v="2"/>
    <s v="Pen"/>
    <n v="13"/>
    <n v="1896.56"/>
    <n v="5"/>
    <x v="1"/>
    <n v="24655.279999999999"/>
    <n v="23422.516"/>
  </r>
  <r>
    <n v="10420"/>
    <x v="255"/>
    <s v="Diya"/>
    <x v="6"/>
    <x v="0"/>
    <s v="Rice"/>
    <n v="2"/>
    <n v="2949.41"/>
    <n v="15"/>
    <x v="3"/>
    <n v="5898.82"/>
    <n v="5013.9969999999994"/>
  </r>
  <r>
    <n v="10421"/>
    <x v="225"/>
    <s v="Sneha"/>
    <x v="0"/>
    <x v="3"/>
    <s v="Chair"/>
    <n v="14"/>
    <n v="2572.65"/>
    <n v="10"/>
    <x v="4"/>
    <n v="36017.1"/>
    <n v="32415.39"/>
  </r>
  <r>
    <n v="10422"/>
    <x v="123"/>
    <s v="Ishaan"/>
    <x v="1"/>
    <x v="0"/>
    <s v="Tea"/>
    <n v="5"/>
    <n v="1646.36"/>
    <n v="10"/>
    <x v="4"/>
    <n v="8231.7999999999993"/>
    <n v="7408.619999999999"/>
  </r>
  <r>
    <n v="10423"/>
    <x v="125"/>
    <s v="Meera"/>
    <x v="2"/>
    <x v="1"/>
    <s v="Keyboard"/>
    <n v="8"/>
    <n v="1633.88"/>
    <n v="10"/>
    <x v="3"/>
    <n v="13071.04"/>
    <n v="11763.936000000002"/>
  </r>
  <r>
    <n v="10424"/>
    <x v="256"/>
    <s v="Ishaan"/>
    <x v="3"/>
    <x v="1"/>
    <s v="SSD"/>
    <n v="6"/>
    <n v="3898.12"/>
    <n v="0"/>
    <x v="4"/>
    <n v="23388.720000000001"/>
    <n v="23388.720000000001"/>
  </r>
  <r>
    <n v="10425"/>
    <x v="103"/>
    <s v="Meera"/>
    <x v="8"/>
    <x v="2"/>
    <s v="Stapler"/>
    <n v="2"/>
    <n v="3971.77"/>
    <n v="20"/>
    <x v="3"/>
    <n v="7943.54"/>
    <n v="6354.8320000000003"/>
  </r>
  <r>
    <n v="10426"/>
    <x v="257"/>
    <s v="Vihaan"/>
    <x v="7"/>
    <x v="3"/>
    <s v="Table"/>
    <n v="14"/>
    <n v="4935.6099999999997"/>
    <n v="0"/>
    <x v="2"/>
    <n v="69098.539999999994"/>
    <n v="69098.539999999994"/>
  </r>
  <r>
    <n v="10427"/>
    <x v="258"/>
    <s v="Rohan"/>
    <x v="4"/>
    <x v="0"/>
    <s v="Sugar"/>
    <n v="10"/>
    <n v="3352.42"/>
    <n v="10"/>
    <x v="0"/>
    <n v="33524.199999999997"/>
    <n v="30171.78"/>
  </r>
  <r>
    <n v="10428"/>
    <x v="259"/>
    <s v="Diya"/>
    <x v="0"/>
    <x v="3"/>
    <s v="Chair"/>
    <n v="17"/>
    <n v="566.38"/>
    <n v="15"/>
    <x v="3"/>
    <n v="9628.4599999999991"/>
    <n v="8184.1909999999989"/>
  </r>
  <r>
    <n v="10429"/>
    <x v="14"/>
    <s v="Diya"/>
    <x v="1"/>
    <x v="3"/>
    <s v="Desk"/>
    <n v="1"/>
    <n v="2821.46"/>
    <n v="15"/>
    <x v="0"/>
    <n v="2821.46"/>
    <n v="2398.241"/>
  </r>
  <r>
    <n v="10430"/>
    <x v="196"/>
    <s v="Diya"/>
    <x v="5"/>
    <x v="1"/>
    <s v="Monitor"/>
    <n v="18"/>
    <n v="110.65"/>
    <n v="5"/>
    <x v="3"/>
    <n v="1991.7"/>
    <n v="1892.115"/>
  </r>
  <r>
    <n v="10431"/>
    <x v="184"/>
    <s v="Neha"/>
    <x v="7"/>
    <x v="1"/>
    <s v="Keyboard"/>
    <n v="10"/>
    <n v="1757.27"/>
    <n v="10"/>
    <x v="4"/>
    <n v="17572.7"/>
    <n v="15815.43"/>
  </r>
  <r>
    <n v="10432"/>
    <x v="20"/>
    <s v="Aarav"/>
    <x v="1"/>
    <x v="1"/>
    <s v="Keyboard"/>
    <n v="2"/>
    <n v="984.23"/>
    <n v="15"/>
    <x v="2"/>
    <n v="1968.46"/>
    <n v="1673.191"/>
  </r>
  <r>
    <n v="10433"/>
    <x v="176"/>
    <s v="Arjun"/>
    <x v="4"/>
    <x v="2"/>
    <s v="Notebook"/>
    <n v="4"/>
    <n v="4356.88"/>
    <n v="0"/>
    <x v="4"/>
    <n v="17427.52"/>
    <n v="17427.52"/>
  </r>
  <r>
    <n v="10434"/>
    <x v="113"/>
    <s v="Vihaan"/>
    <x v="5"/>
    <x v="3"/>
    <s v="Chair"/>
    <n v="12"/>
    <n v="4797.13"/>
    <n v="20"/>
    <x v="3"/>
    <n v="57565.56"/>
    <n v="46052.447999999997"/>
  </r>
  <r>
    <n v="10435"/>
    <x v="260"/>
    <s v="Anaya"/>
    <x v="9"/>
    <x v="0"/>
    <s v="Tea"/>
    <n v="4"/>
    <n v="4055"/>
    <n v="20"/>
    <x v="0"/>
    <n v="16220"/>
    <n v="12976"/>
  </r>
  <r>
    <n v="10436"/>
    <x v="191"/>
    <s v="Sneha"/>
    <x v="1"/>
    <x v="3"/>
    <s v="Desk"/>
    <n v="15"/>
    <n v="1551.63"/>
    <n v="15"/>
    <x v="2"/>
    <n v="23274.45"/>
    <n v="19783.282500000001"/>
  </r>
  <r>
    <n v="10437"/>
    <x v="70"/>
    <s v="Aarav"/>
    <x v="4"/>
    <x v="0"/>
    <s v="Rice"/>
    <n v="11"/>
    <n v="895.42"/>
    <n v="10"/>
    <x v="3"/>
    <n v="9849.619999999999"/>
    <n v="8864.6579999999994"/>
  </r>
  <r>
    <n v="10438"/>
    <x v="150"/>
    <s v="Meera"/>
    <x v="1"/>
    <x v="2"/>
    <s v="Stapler"/>
    <n v="11"/>
    <n v="4931.04"/>
    <n v="5"/>
    <x v="3"/>
    <n v="54241.440000000002"/>
    <n v="51529.368000000002"/>
  </r>
  <r>
    <n v="10439"/>
    <x v="25"/>
    <s v="Anaya"/>
    <x v="4"/>
    <x v="3"/>
    <s v="Chair"/>
    <n v="4"/>
    <n v="3845.08"/>
    <n v="15"/>
    <x v="3"/>
    <n v="15380.32"/>
    <n v="13073.272000000001"/>
  </r>
  <r>
    <n v="10440"/>
    <x v="23"/>
    <s v="Diya"/>
    <x v="1"/>
    <x v="2"/>
    <s v="Pen"/>
    <n v="15"/>
    <n v="3592.86"/>
    <n v="5"/>
    <x v="4"/>
    <n v="53892.9"/>
    <n v="51198.255000000005"/>
  </r>
  <r>
    <n v="10441"/>
    <x v="241"/>
    <s v="Rohan"/>
    <x v="4"/>
    <x v="3"/>
    <s v="Cabinet"/>
    <n v="9"/>
    <n v="3081.51"/>
    <n v="10"/>
    <x v="0"/>
    <n v="27733.590000000004"/>
    <n v="24960.231000000003"/>
  </r>
  <r>
    <n v="10442"/>
    <x v="169"/>
    <s v="Meera"/>
    <x v="1"/>
    <x v="0"/>
    <s v="Rice"/>
    <n v="6"/>
    <n v="1901.36"/>
    <n v="20"/>
    <x v="1"/>
    <n v="11408.16"/>
    <n v="9126.5280000000002"/>
  </r>
  <r>
    <n v="10443"/>
    <x v="7"/>
    <s v="Kabir"/>
    <x v="4"/>
    <x v="1"/>
    <s v="Monitor"/>
    <n v="1"/>
    <n v="2693.58"/>
    <n v="10"/>
    <x v="2"/>
    <n v="2693.58"/>
    <n v="2424.2219999999998"/>
  </r>
  <r>
    <n v="10444"/>
    <x v="76"/>
    <s v="Rohan"/>
    <x v="3"/>
    <x v="1"/>
    <s v="Mouse"/>
    <n v="18"/>
    <n v="1294.68"/>
    <n v="15"/>
    <x v="1"/>
    <n v="23304.240000000002"/>
    <n v="19808.603999999999"/>
  </r>
  <r>
    <n v="10445"/>
    <x v="225"/>
    <s v="Rohan"/>
    <x v="6"/>
    <x v="2"/>
    <s v="Pen"/>
    <n v="2"/>
    <n v="806.75"/>
    <n v="0"/>
    <x v="3"/>
    <n v="1613.5"/>
    <n v="1613.5"/>
  </r>
  <r>
    <n v="10446"/>
    <x v="160"/>
    <s v="Aarav"/>
    <x v="2"/>
    <x v="2"/>
    <s v="Stapler"/>
    <n v="10"/>
    <n v="1898.55"/>
    <n v="5"/>
    <x v="1"/>
    <n v="18985.5"/>
    <n v="18036.224999999999"/>
  </r>
  <r>
    <n v="10447"/>
    <x v="124"/>
    <s v="Rohan"/>
    <x v="1"/>
    <x v="1"/>
    <s v="Mouse"/>
    <n v="18"/>
    <n v="1898.32"/>
    <n v="10"/>
    <x v="3"/>
    <n v="34169.760000000002"/>
    <n v="30752.784"/>
  </r>
  <r>
    <n v="10448"/>
    <x v="24"/>
    <s v="Aarav"/>
    <x v="6"/>
    <x v="1"/>
    <s v="SSD"/>
    <n v="4"/>
    <n v="1467.78"/>
    <n v="20"/>
    <x v="2"/>
    <n v="5871.12"/>
    <n v="4696.8959999999997"/>
  </r>
  <r>
    <n v="10449"/>
    <x v="58"/>
    <s v="Diya"/>
    <x v="5"/>
    <x v="0"/>
    <s v="Coffee"/>
    <n v="15"/>
    <n v="4612.1000000000004"/>
    <n v="5"/>
    <x v="4"/>
    <n v="69181.5"/>
    <n v="65722.425000000003"/>
  </r>
  <r>
    <n v="10450"/>
    <x v="261"/>
    <s v="Priya"/>
    <x v="5"/>
    <x v="0"/>
    <s v="Sugar"/>
    <n v="12"/>
    <n v="3881.19"/>
    <n v="15"/>
    <x v="2"/>
    <n v="46574.28"/>
    <n v="39588.137999999999"/>
  </r>
  <r>
    <n v="10451"/>
    <x v="162"/>
    <s v="Meera"/>
    <x v="9"/>
    <x v="2"/>
    <s v="Stapler"/>
    <n v="1"/>
    <n v="4369.43"/>
    <n v="15"/>
    <x v="0"/>
    <n v="4369.43"/>
    <n v="3714.0155000000004"/>
  </r>
  <r>
    <n v="10452"/>
    <x v="176"/>
    <s v="Meera"/>
    <x v="6"/>
    <x v="2"/>
    <s v="Pen"/>
    <n v="20"/>
    <n v="3583.32"/>
    <n v="20"/>
    <x v="2"/>
    <n v="71666.400000000009"/>
    <n v="57333.12000000001"/>
  </r>
  <r>
    <n v="10453"/>
    <x v="106"/>
    <s v="Sneha"/>
    <x v="3"/>
    <x v="0"/>
    <s v="Tea"/>
    <n v="15"/>
    <n v="4795.13"/>
    <n v="0"/>
    <x v="3"/>
    <n v="71926.95"/>
    <n v="71926.95"/>
  </r>
  <r>
    <n v="10454"/>
    <x v="262"/>
    <s v="Diya"/>
    <x v="4"/>
    <x v="0"/>
    <s v="Tea"/>
    <n v="18"/>
    <n v="4083.83"/>
    <n v="0"/>
    <x v="0"/>
    <n v="73508.94"/>
    <n v="73508.94"/>
  </r>
  <r>
    <n v="10455"/>
    <x v="1"/>
    <s v="Vihaan"/>
    <x v="9"/>
    <x v="0"/>
    <s v="Coffee"/>
    <n v="19"/>
    <n v="2076.7800000000002"/>
    <n v="20"/>
    <x v="4"/>
    <n v="39458.820000000007"/>
    <n v="31567.056000000004"/>
  </r>
  <r>
    <n v="10456"/>
    <x v="188"/>
    <s v="Aarav"/>
    <x v="9"/>
    <x v="1"/>
    <s v="SSD"/>
    <n v="5"/>
    <n v="4830.22"/>
    <n v="20"/>
    <x v="3"/>
    <n v="24151.100000000002"/>
    <n v="19320.88"/>
  </r>
  <r>
    <n v="10457"/>
    <x v="102"/>
    <s v="Priya"/>
    <x v="9"/>
    <x v="2"/>
    <s v="Stapler"/>
    <n v="4"/>
    <n v="3496.85"/>
    <n v="5"/>
    <x v="0"/>
    <n v="13987.4"/>
    <n v="13288.029999999999"/>
  </r>
  <r>
    <n v="10458"/>
    <x v="263"/>
    <s v="Rohan"/>
    <x v="9"/>
    <x v="1"/>
    <s v="Keyboard"/>
    <n v="17"/>
    <n v="3307.06"/>
    <n v="0"/>
    <x v="4"/>
    <n v="56220.02"/>
    <n v="56220.02"/>
  </r>
  <r>
    <n v="10459"/>
    <x v="153"/>
    <s v="Priya"/>
    <x v="8"/>
    <x v="2"/>
    <s v="Marker"/>
    <n v="12"/>
    <n v="2142.9299999999998"/>
    <n v="15"/>
    <x v="3"/>
    <n v="25715.159999999996"/>
    <n v="21857.885999999999"/>
  </r>
  <r>
    <n v="10460"/>
    <x v="46"/>
    <s v="Diya"/>
    <x v="7"/>
    <x v="0"/>
    <s v="Tea"/>
    <n v="1"/>
    <n v="1722.74"/>
    <n v="20"/>
    <x v="0"/>
    <n v="1722.74"/>
    <n v="1378.192"/>
  </r>
  <r>
    <n v="10461"/>
    <x v="198"/>
    <s v="Diya"/>
    <x v="5"/>
    <x v="0"/>
    <s v="Sugar"/>
    <n v="12"/>
    <n v="4846.67"/>
    <n v="10"/>
    <x v="3"/>
    <n v="58160.04"/>
    <n v="52344.036"/>
  </r>
  <r>
    <n v="10462"/>
    <x v="6"/>
    <s v="Neha"/>
    <x v="8"/>
    <x v="3"/>
    <s v="Cabinet"/>
    <n v="5"/>
    <n v="2206.3200000000002"/>
    <n v="0"/>
    <x v="4"/>
    <n v="11031.6"/>
    <n v="11031.6"/>
  </r>
  <r>
    <n v="10463"/>
    <x v="243"/>
    <s v="Meera"/>
    <x v="6"/>
    <x v="2"/>
    <s v="Marker"/>
    <n v="13"/>
    <n v="77.36"/>
    <n v="10"/>
    <x v="4"/>
    <n v="1005.68"/>
    <n v="905.11199999999997"/>
  </r>
  <r>
    <n v="10464"/>
    <x v="184"/>
    <s v="Aarav"/>
    <x v="9"/>
    <x v="2"/>
    <s v="Marker"/>
    <n v="16"/>
    <n v="325.32"/>
    <n v="10"/>
    <x v="4"/>
    <n v="5205.12"/>
    <n v="4684.6080000000002"/>
  </r>
  <r>
    <n v="10465"/>
    <x v="243"/>
    <s v="Vihaan"/>
    <x v="8"/>
    <x v="3"/>
    <s v="Desk"/>
    <n v="5"/>
    <n v="3779.31"/>
    <n v="20"/>
    <x v="2"/>
    <n v="18896.55"/>
    <n v="15117.24"/>
  </r>
  <r>
    <n v="10466"/>
    <x v="96"/>
    <s v="Priya"/>
    <x v="7"/>
    <x v="1"/>
    <s v="Monitor"/>
    <n v="6"/>
    <n v="1546.44"/>
    <n v="20"/>
    <x v="0"/>
    <n v="9278.64"/>
    <n v="7422.9119999999994"/>
  </r>
  <r>
    <n v="10467"/>
    <x v="264"/>
    <s v="Kabir"/>
    <x v="3"/>
    <x v="1"/>
    <s v="Mouse"/>
    <n v="8"/>
    <n v="3968.93"/>
    <n v="10"/>
    <x v="2"/>
    <n v="31751.439999999999"/>
    <n v="28576.295999999998"/>
  </r>
  <r>
    <n v="10468"/>
    <x v="0"/>
    <s v="Aarav"/>
    <x v="0"/>
    <x v="0"/>
    <s v="Rice"/>
    <n v="8"/>
    <n v="2224.2399999999998"/>
    <n v="15"/>
    <x v="1"/>
    <n v="17793.919999999998"/>
    <n v="15124.831999999999"/>
  </r>
  <r>
    <n v="10469"/>
    <x v="81"/>
    <s v="Kabir"/>
    <x v="2"/>
    <x v="0"/>
    <s v="Tea"/>
    <n v="20"/>
    <n v="880.96"/>
    <n v="15"/>
    <x v="4"/>
    <n v="17619.2"/>
    <n v="14976.32"/>
  </r>
  <r>
    <n v="10470"/>
    <x v="252"/>
    <s v="Priya"/>
    <x v="2"/>
    <x v="2"/>
    <s v="Stapler"/>
    <n v="6"/>
    <n v="154.31"/>
    <n v="10"/>
    <x v="3"/>
    <n v="925.86"/>
    <n v="833.274"/>
  </r>
  <r>
    <n v="10471"/>
    <x v="29"/>
    <s v="Diya"/>
    <x v="5"/>
    <x v="1"/>
    <s v="Monitor"/>
    <n v="8"/>
    <n v="1505.08"/>
    <n v="0"/>
    <x v="0"/>
    <n v="12040.64"/>
    <n v="12040.64"/>
  </r>
  <r>
    <n v="10472"/>
    <x v="104"/>
    <s v="Diya"/>
    <x v="9"/>
    <x v="2"/>
    <s v="Marker"/>
    <n v="3"/>
    <n v="2055.4499999999998"/>
    <n v="10"/>
    <x v="2"/>
    <n v="6166.3499999999995"/>
    <n v="5549.7149999999992"/>
  </r>
  <r>
    <n v="10473"/>
    <x v="265"/>
    <s v="Priya"/>
    <x v="6"/>
    <x v="1"/>
    <s v="Mouse"/>
    <n v="19"/>
    <n v="3909.86"/>
    <n v="15"/>
    <x v="0"/>
    <n v="74287.34"/>
    <n v="63144.239000000001"/>
  </r>
  <r>
    <n v="10474"/>
    <x v="151"/>
    <s v="Ishaan"/>
    <x v="5"/>
    <x v="1"/>
    <s v="Keyboard"/>
    <n v="17"/>
    <n v="1519.29"/>
    <n v="0"/>
    <x v="0"/>
    <n v="25827.93"/>
    <n v="25827.93"/>
  </r>
  <r>
    <n v="10475"/>
    <x v="38"/>
    <s v="Arjun"/>
    <x v="5"/>
    <x v="3"/>
    <s v="Chair"/>
    <n v="5"/>
    <n v="565.51"/>
    <n v="5"/>
    <x v="2"/>
    <n v="2827.55"/>
    <n v="2686.1725000000001"/>
  </r>
  <r>
    <n v="10476"/>
    <x v="245"/>
    <s v="Arjun"/>
    <x v="8"/>
    <x v="3"/>
    <s v="Desk"/>
    <n v="7"/>
    <n v="4443.84"/>
    <n v="0"/>
    <x v="4"/>
    <n v="31106.880000000001"/>
    <n v="31106.880000000001"/>
  </r>
  <r>
    <n v="10477"/>
    <x v="211"/>
    <s v="Priya"/>
    <x v="7"/>
    <x v="3"/>
    <s v="Table"/>
    <n v="9"/>
    <n v="3308.58"/>
    <n v="15"/>
    <x v="3"/>
    <n v="29777.22"/>
    <n v="25310.637000000002"/>
  </r>
  <r>
    <n v="10478"/>
    <x v="124"/>
    <s v="Sneha"/>
    <x v="9"/>
    <x v="0"/>
    <s v="Rice"/>
    <n v="10"/>
    <n v="4146.09"/>
    <n v="5"/>
    <x v="2"/>
    <n v="41460.9"/>
    <n v="39387.855000000003"/>
  </r>
  <r>
    <n v="10479"/>
    <x v="266"/>
    <s v="Neha"/>
    <x v="6"/>
    <x v="1"/>
    <s v="Monitor"/>
    <n v="15"/>
    <n v="3917.53"/>
    <n v="15"/>
    <x v="2"/>
    <n v="58762.950000000004"/>
    <n v="49948.507500000007"/>
  </r>
  <r>
    <n v="10480"/>
    <x v="226"/>
    <s v="Vihaan"/>
    <x v="2"/>
    <x v="1"/>
    <s v="SSD"/>
    <n v="2"/>
    <n v="3570.62"/>
    <n v="5"/>
    <x v="3"/>
    <n v="7141.24"/>
    <n v="6784.1779999999999"/>
  </r>
  <r>
    <n v="10481"/>
    <x v="267"/>
    <s v="Vihaan"/>
    <x v="2"/>
    <x v="1"/>
    <s v="Monitor"/>
    <n v="7"/>
    <n v="3021.64"/>
    <n v="15"/>
    <x v="4"/>
    <n v="21151.48"/>
    <n v="17978.757999999998"/>
  </r>
  <r>
    <n v="10482"/>
    <x v="21"/>
    <s v="Arjun"/>
    <x v="7"/>
    <x v="0"/>
    <s v="Tea"/>
    <n v="15"/>
    <n v="3536.32"/>
    <n v="5"/>
    <x v="0"/>
    <n v="53044.800000000003"/>
    <n v="50392.560000000005"/>
  </r>
  <r>
    <n v="10483"/>
    <x v="61"/>
    <s v="Sneha"/>
    <x v="5"/>
    <x v="0"/>
    <s v="Coffee"/>
    <n v="14"/>
    <n v="465.25"/>
    <n v="15"/>
    <x v="1"/>
    <n v="6513.5"/>
    <n v="5536.4750000000004"/>
  </r>
  <r>
    <n v="10484"/>
    <x v="268"/>
    <s v="Diya"/>
    <x v="7"/>
    <x v="0"/>
    <s v="Rice"/>
    <n v="6"/>
    <n v="2790.56"/>
    <n v="20"/>
    <x v="2"/>
    <n v="16743.36"/>
    <n v="13394.688"/>
  </r>
  <r>
    <n v="10485"/>
    <x v="172"/>
    <s v="Neha"/>
    <x v="6"/>
    <x v="0"/>
    <s v="Coffee"/>
    <n v="2"/>
    <n v="3138.96"/>
    <n v="0"/>
    <x v="4"/>
    <n v="6277.92"/>
    <n v="6277.92"/>
  </r>
  <r>
    <n v="10486"/>
    <x v="135"/>
    <s v="Arjun"/>
    <x v="8"/>
    <x v="3"/>
    <s v="Table"/>
    <n v="18"/>
    <n v="1364.35"/>
    <n v="5"/>
    <x v="3"/>
    <n v="24558.3"/>
    <n v="23330.384999999998"/>
  </r>
  <r>
    <n v="10487"/>
    <x v="269"/>
    <s v="Kabir"/>
    <x v="8"/>
    <x v="2"/>
    <s v="Notebook"/>
    <n v="3"/>
    <n v="1388.14"/>
    <n v="5"/>
    <x v="3"/>
    <n v="4164.42"/>
    <n v="3956.1990000000001"/>
  </r>
  <r>
    <n v="10488"/>
    <x v="270"/>
    <s v="Rohan"/>
    <x v="8"/>
    <x v="3"/>
    <s v="Chair"/>
    <n v="7"/>
    <n v="4834.97"/>
    <n v="0"/>
    <x v="2"/>
    <n v="33844.79"/>
    <n v="33844.79"/>
  </r>
  <r>
    <n v="10489"/>
    <x v="245"/>
    <s v="Priya"/>
    <x v="2"/>
    <x v="3"/>
    <s v="Desk"/>
    <n v="11"/>
    <n v="1507.25"/>
    <n v="5"/>
    <x v="3"/>
    <n v="16579.75"/>
    <n v="15750.762500000001"/>
  </r>
  <r>
    <n v="10490"/>
    <x v="271"/>
    <s v="Aarav"/>
    <x v="2"/>
    <x v="1"/>
    <s v="Monitor"/>
    <n v="7"/>
    <n v="3106.84"/>
    <n v="15"/>
    <x v="2"/>
    <n v="21747.88"/>
    <n v="18485.698"/>
  </r>
  <r>
    <n v="10491"/>
    <x v="31"/>
    <s v="Kabir"/>
    <x v="0"/>
    <x v="2"/>
    <s v="Marker"/>
    <n v="5"/>
    <n v="4412.41"/>
    <n v="10"/>
    <x v="0"/>
    <n v="22062.05"/>
    <n v="19855.845000000001"/>
  </r>
  <r>
    <n v="10492"/>
    <x v="163"/>
    <s v="Meera"/>
    <x v="7"/>
    <x v="3"/>
    <s v="Desk"/>
    <n v="1"/>
    <n v="953.08"/>
    <n v="5"/>
    <x v="1"/>
    <n v="953.08"/>
    <n v="905.42600000000004"/>
  </r>
  <r>
    <n v="10493"/>
    <x v="126"/>
    <s v="Arjun"/>
    <x v="6"/>
    <x v="2"/>
    <s v="Marker"/>
    <n v="4"/>
    <n v="859.44"/>
    <n v="15"/>
    <x v="1"/>
    <n v="3437.76"/>
    <n v="2922.0960000000005"/>
  </r>
  <r>
    <n v="10494"/>
    <x v="239"/>
    <s v="Anaya"/>
    <x v="1"/>
    <x v="2"/>
    <s v="Marker"/>
    <n v="15"/>
    <n v="4903.68"/>
    <n v="15"/>
    <x v="2"/>
    <n v="73555.200000000012"/>
    <n v="62521.920000000013"/>
  </r>
  <r>
    <n v="10495"/>
    <x v="194"/>
    <s v="Aarav"/>
    <x v="8"/>
    <x v="2"/>
    <s v="Notebook"/>
    <n v="2"/>
    <n v="270.23"/>
    <n v="5"/>
    <x v="1"/>
    <n v="540.46"/>
    <n v="513.43700000000001"/>
  </r>
  <r>
    <n v="10496"/>
    <x v="272"/>
    <s v="Arjun"/>
    <x v="0"/>
    <x v="2"/>
    <s v="Notebook"/>
    <n v="9"/>
    <n v="1500.28"/>
    <n v="15"/>
    <x v="4"/>
    <n v="13502.52"/>
    <n v="11477.142"/>
  </r>
  <r>
    <n v="10497"/>
    <x v="153"/>
    <s v="Anaya"/>
    <x v="3"/>
    <x v="1"/>
    <s v="SSD"/>
    <n v="6"/>
    <n v="4798.87"/>
    <n v="10"/>
    <x v="1"/>
    <n v="28793.22"/>
    <n v="25913.898000000001"/>
  </r>
  <r>
    <n v="10498"/>
    <x v="191"/>
    <s v="Neha"/>
    <x v="6"/>
    <x v="3"/>
    <s v="Chair"/>
    <n v="12"/>
    <n v="3139.27"/>
    <n v="10"/>
    <x v="0"/>
    <n v="37671.24"/>
    <n v="33904.115999999995"/>
  </r>
  <r>
    <n v="10499"/>
    <x v="273"/>
    <s v="Aarav"/>
    <x v="2"/>
    <x v="2"/>
    <s v="Notebook"/>
    <n v="13"/>
    <n v="3212.3"/>
    <n v="5"/>
    <x v="2"/>
    <n v="41759.9"/>
    <n v="39671.904999999999"/>
  </r>
  <r>
    <n v="10500"/>
    <x v="223"/>
    <s v="Kabir"/>
    <x v="9"/>
    <x v="1"/>
    <s v="Mouse"/>
    <n v="6"/>
    <n v="1258.08"/>
    <n v="5"/>
    <x v="2"/>
    <n v="7548.48"/>
    <n v="7171.055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A5C2A-6D83-4D15-A350-B9F9F7E7BDDF}" name="que2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 fieldListSortAscending="1">
  <location ref="D10:E15" firstHeaderRow="1" firstDataRow="1" firstDataCol="1"/>
  <pivotFields count="14">
    <pivotField showAll="0"/>
    <pivotField showAll="0">
      <items count="275">
        <item x="251"/>
        <item x="151"/>
        <item x="162"/>
        <item x="124"/>
        <item x="116"/>
        <item x="137"/>
        <item x="161"/>
        <item x="273"/>
        <item x="144"/>
        <item x="246"/>
        <item x="262"/>
        <item x="178"/>
        <item x="115"/>
        <item x="193"/>
        <item x="26"/>
        <item x="139"/>
        <item x="11"/>
        <item x="220"/>
        <item x="15"/>
        <item x="109"/>
        <item x="55"/>
        <item x="253"/>
        <item x="23"/>
        <item x="59"/>
        <item x="17"/>
        <item x="212"/>
        <item x="126"/>
        <item x="63"/>
        <item x="152"/>
        <item x="219"/>
        <item x="19"/>
        <item x="121"/>
        <item x="266"/>
        <item x="206"/>
        <item x="204"/>
        <item x="222"/>
        <item x="28"/>
        <item x="205"/>
        <item x="94"/>
        <item x="173"/>
        <item x="44"/>
        <item x="77"/>
        <item x="41"/>
        <item x="76"/>
        <item x="67"/>
        <item x="72"/>
        <item x="16"/>
        <item x="132"/>
        <item x="226"/>
        <item x="103"/>
        <item x="5"/>
        <item x="105"/>
        <item x="158"/>
        <item x="43"/>
        <item x="179"/>
        <item x="9"/>
        <item x="119"/>
        <item x="159"/>
        <item x="70"/>
        <item x="211"/>
        <item x="125"/>
        <item x="82"/>
        <item x="180"/>
        <item x="255"/>
        <item x="75"/>
        <item x="146"/>
        <item x="203"/>
        <item x="61"/>
        <item x="208"/>
        <item x="271"/>
        <item x="258"/>
        <item x="117"/>
        <item x="20"/>
        <item x="165"/>
        <item x="80"/>
        <item x="237"/>
        <item x="57"/>
        <item x="45"/>
        <item x="207"/>
        <item x="149"/>
        <item x="228"/>
        <item x="194"/>
        <item x="69"/>
        <item x="230"/>
        <item x="107"/>
        <item x="3"/>
        <item x="160"/>
        <item x="145"/>
        <item x="225"/>
        <item x="127"/>
        <item x="46"/>
        <item x="244"/>
        <item x="120"/>
        <item x="102"/>
        <item x="189"/>
        <item x="252"/>
        <item x="201"/>
        <item x="135"/>
        <item x="113"/>
        <item x="170"/>
        <item x="39"/>
        <item x="96"/>
        <item x="263"/>
        <item x="150"/>
        <item x="216"/>
        <item x="227"/>
        <item x="202"/>
        <item x="31"/>
        <item x="168"/>
        <item x="241"/>
        <item x="118"/>
        <item x="24"/>
        <item x="209"/>
        <item x="183"/>
        <item x="215"/>
        <item x="247"/>
        <item x="30"/>
        <item x="140"/>
        <item x="177"/>
        <item x="106"/>
        <item x="186"/>
        <item x="32"/>
        <item x="37"/>
        <item x="196"/>
        <item x="34"/>
        <item x="231"/>
        <item x="35"/>
        <item x="91"/>
        <item x="238"/>
        <item x="185"/>
        <item x="257"/>
        <item x="7"/>
        <item x="4"/>
        <item x="243"/>
        <item x="1"/>
        <item x="223"/>
        <item x="111"/>
        <item x="0"/>
        <item x="142"/>
        <item x="78"/>
        <item x="182"/>
        <item x="256"/>
        <item x="51"/>
        <item x="122"/>
        <item x="18"/>
        <item x="169"/>
        <item x="123"/>
        <item x="264"/>
        <item x="131"/>
        <item x="48"/>
        <item x="229"/>
        <item x="14"/>
        <item x="25"/>
        <item x="218"/>
        <item x="184"/>
        <item x="6"/>
        <item x="50"/>
        <item x="217"/>
        <item x="235"/>
        <item x="92"/>
        <item x="221"/>
        <item x="188"/>
        <item x="136"/>
        <item x="239"/>
        <item x="268"/>
        <item x="81"/>
        <item x="52"/>
        <item x="250"/>
        <item x="47"/>
        <item x="87"/>
        <item x="100"/>
        <item x="148"/>
        <item x="108"/>
        <item x="210"/>
        <item x="42"/>
        <item x="128"/>
        <item x="53"/>
        <item x="272"/>
        <item x="181"/>
        <item x="192"/>
        <item x="249"/>
        <item x="174"/>
        <item x="29"/>
        <item x="71"/>
        <item x="233"/>
        <item x="114"/>
        <item x="8"/>
        <item x="90"/>
        <item x="21"/>
        <item x="191"/>
        <item x="213"/>
        <item x="269"/>
        <item x="99"/>
        <item x="164"/>
        <item x="163"/>
        <item x="84"/>
        <item x="129"/>
        <item x="236"/>
        <item x="85"/>
        <item x="58"/>
        <item x="86"/>
        <item x="60"/>
        <item x="156"/>
        <item x="89"/>
        <item x="36"/>
        <item x="104"/>
        <item x="83"/>
        <item x="130"/>
        <item x="198"/>
        <item x="62"/>
        <item x="56"/>
        <item x="49"/>
        <item x="79"/>
        <item x="157"/>
        <item x="153"/>
        <item x="254"/>
        <item x="172"/>
        <item x="166"/>
        <item x="199"/>
        <item x="240"/>
        <item x="93"/>
        <item x="267"/>
        <item x="154"/>
        <item x="95"/>
        <item x="175"/>
        <item x="68"/>
        <item x="134"/>
        <item x="197"/>
        <item x="214"/>
        <item x="147"/>
        <item x="224"/>
        <item x="12"/>
        <item x="195"/>
        <item x="265"/>
        <item x="232"/>
        <item x="167"/>
        <item x="143"/>
        <item x="10"/>
        <item x="2"/>
        <item x="101"/>
        <item x="190"/>
        <item x="33"/>
        <item x="138"/>
        <item x="27"/>
        <item x="176"/>
        <item x="187"/>
        <item x="98"/>
        <item x="112"/>
        <item x="97"/>
        <item x="260"/>
        <item x="171"/>
        <item x="261"/>
        <item x="54"/>
        <item x="38"/>
        <item x="22"/>
        <item x="74"/>
        <item x="242"/>
        <item x="259"/>
        <item x="13"/>
        <item x="40"/>
        <item x="200"/>
        <item x="245"/>
        <item x="234"/>
        <item x="133"/>
        <item x="65"/>
        <item x="270"/>
        <item x="88"/>
        <item x="110"/>
        <item x="141"/>
        <item x="73"/>
        <item x="66"/>
        <item x="64"/>
        <item x="248"/>
        <item x="155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ty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B4D92-BBF4-484D-8129-79AC90B4CC33}" name="que2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 fieldListSortAscending="1">
  <location ref="D3:E8" firstHeaderRow="1" firstDataRow="1" firstDataCol="1"/>
  <pivotFields count="14">
    <pivotField showAll="0"/>
    <pivotField showAll="0">
      <items count="275">
        <item x="251"/>
        <item x="151"/>
        <item x="162"/>
        <item x="124"/>
        <item x="116"/>
        <item x="137"/>
        <item x="161"/>
        <item x="273"/>
        <item x="144"/>
        <item x="246"/>
        <item x="262"/>
        <item x="178"/>
        <item x="115"/>
        <item x="193"/>
        <item x="26"/>
        <item x="139"/>
        <item x="11"/>
        <item x="220"/>
        <item x="15"/>
        <item x="109"/>
        <item x="55"/>
        <item x="253"/>
        <item x="23"/>
        <item x="59"/>
        <item x="17"/>
        <item x="212"/>
        <item x="126"/>
        <item x="63"/>
        <item x="152"/>
        <item x="219"/>
        <item x="19"/>
        <item x="121"/>
        <item x="266"/>
        <item x="206"/>
        <item x="204"/>
        <item x="222"/>
        <item x="28"/>
        <item x="205"/>
        <item x="94"/>
        <item x="173"/>
        <item x="44"/>
        <item x="77"/>
        <item x="41"/>
        <item x="76"/>
        <item x="67"/>
        <item x="72"/>
        <item x="16"/>
        <item x="132"/>
        <item x="226"/>
        <item x="103"/>
        <item x="5"/>
        <item x="105"/>
        <item x="158"/>
        <item x="43"/>
        <item x="179"/>
        <item x="9"/>
        <item x="119"/>
        <item x="159"/>
        <item x="70"/>
        <item x="211"/>
        <item x="125"/>
        <item x="82"/>
        <item x="180"/>
        <item x="255"/>
        <item x="75"/>
        <item x="146"/>
        <item x="203"/>
        <item x="61"/>
        <item x="208"/>
        <item x="271"/>
        <item x="258"/>
        <item x="117"/>
        <item x="20"/>
        <item x="165"/>
        <item x="80"/>
        <item x="237"/>
        <item x="57"/>
        <item x="45"/>
        <item x="207"/>
        <item x="149"/>
        <item x="228"/>
        <item x="194"/>
        <item x="69"/>
        <item x="230"/>
        <item x="107"/>
        <item x="3"/>
        <item x="160"/>
        <item x="145"/>
        <item x="225"/>
        <item x="127"/>
        <item x="46"/>
        <item x="244"/>
        <item x="120"/>
        <item x="102"/>
        <item x="189"/>
        <item x="252"/>
        <item x="201"/>
        <item x="135"/>
        <item x="113"/>
        <item x="170"/>
        <item x="39"/>
        <item x="96"/>
        <item x="263"/>
        <item x="150"/>
        <item x="216"/>
        <item x="227"/>
        <item x="202"/>
        <item x="31"/>
        <item x="168"/>
        <item x="241"/>
        <item x="118"/>
        <item x="24"/>
        <item x="209"/>
        <item x="183"/>
        <item x="215"/>
        <item x="247"/>
        <item x="30"/>
        <item x="140"/>
        <item x="177"/>
        <item x="106"/>
        <item x="186"/>
        <item x="32"/>
        <item x="37"/>
        <item x="196"/>
        <item x="34"/>
        <item x="231"/>
        <item x="35"/>
        <item x="91"/>
        <item x="238"/>
        <item x="185"/>
        <item x="257"/>
        <item x="7"/>
        <item x="4"/>
        <item x="243"/>
        <item x="1"/>
        <item x="223"/>
        <item x="111"/>
        <item x="0"/>
        <item x="142"/>
        <item x="78"/>
        <item x="182"/>
        <item x="256"/>
        <item x="51"/>
        <item x="122"/>
        <item x="18"/>
        <item x="169"/>
        <item x="123"/>
        <item x="264"/>
        <item x="131"/>
        <item x="48"/>
        <item x="229"/>
        <item x="14"/>
        <item x="25"/>
        <item x="218"/>
        <item x="184"/>
        <item x="6"/>
        <item x="50"/>
        <item x="217"/>
        <item x="235"/>
        <item x="92"/>
        <item x="221"/>
        <item x="188"/>
        <item x="136"/>
        <item x="239"/>
        <item x="268"/>
        <item x="81"/>
        <item x="52"/>
        <item x="250"/>
        <item x="47"/>
        <item x="87"/>
        <item x="100"/>
        <item x="148"/>
        <item x="108"/>
        <item x="210"/>
        <item x="42"/>
        <item x="128"/>
        <item x="53"/>
        <item x="272"/>
        <item x="181"/>
        <item x="192"/>
        <item x="249"/>
        <item x="174"/>
        <item x="29"/>
        <item x="71"/>
        <item x="233"/>
        <item x="114"/>
        <item x="8"/>
        <item x="90"/>
        <item x="21"/>
        <item x="191"/>
        <item x="213"/>
        <item x="269"/>
        <item x="99"/>
        <item x="164"/>
        <item x="163"/>
        <item x="84"/>
        <item x="129"/>
        <item x="236"/>
        <item x="85"/>
        <item x="58"/>
        <item x="86"/>
        <item x="60"/>
        <item x="156"/>
        <item x="89"/>
        <item x="36"/>
        <item x="104"/>
        <item x="83"/>
        <item x="130"/>
        <item x="198"/>
        <item x="62"/>
        <item x="56"/>
        <item x="49"/>
        <item x="79"/>
        <item x="157"/>
        <item x="153"/>
        <item x="254"/>
        <item x="172"/>
        <item x="166"/>
        <item x="199"/>
        <item x="240"/>
        <item x="93"/>
        <item x="267"/>
        <item x="154"/>
        <item x="95"/>
        <item x="175"/>
        <item x="68"/>
        <item x="134"/>
        <item x="197"/>
        <item x="214"/>
        <item x="147"/>
        <item x="224"/>
        <item x="12"/>
        <item x="195"/>
        <item x="265"/>
        <item x="232"/>
        <item x="167"/>
        <item x="143"/>
        <item x="10"/>
        <item x="2"/>
        <item x="101"/>
        <item x="190"/>
        <item x="33"/>
        <item x="138"/>
        <item x="27"/>
        <item x="176"/>
        <item x="187"/>
        <item x="98"/>
        <item x="112"/>
        <item x="97"/>
        <item x="260"/>
        <item x="171"/>
        <item x="261"/>
        <item x="54"/>
        <item x="38"/>
        <item x="22"/>
        <item x="74"/>
        <item x="242"/>
        <item x="259"/>
        <item x="13"/>
        <item x="40"/>
        <item x="200"/>
        <item x="245"/>
        <item x="234"/>
        <item x="133"/>
        <item x="65"/>
        <item x="270"/>
        <item x="88"/>
        <item x="110"/>
        <item x="141"/>
        <item x="73"/>
        <item x="66"/>
        <item x="64"/>
        <item x="248"/>
        <item x="155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DDC0C-9B16-481D-B095-9D088A45E77B}" name="que2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 fieldListSortAscending="1">
  <location ref="J3:K14" firstHeaderRow="1" firstDataRow="1" firstDataCol="1"/>
  <pivotFields count="14">
    <pivotField showAll="0"/>
    <pivotField showAll="0">
      <items count="275">
        <item x="251"/>
        <item x="151"/>
        <item x="162"/>
        <item x="124"/>
        <item x="116"/>
        <item x="137"/>
        <item x="161"/>
        <item x="273"/>
        <item x="144"/>
        <item x="246"/>
        <item x="262"/>
        <item x="178"/>
        <item x="115"/>
        <item x="193"/>
        <item x="26"/>
        <item x="139"/>
        <item x="11"/>
        <item x="220"/>
        <item x="15"/>
        <item x="109"/>
        <item x="55"/>
        <item x="253"/>
        <item x="23"/>
        <item x="59"/>
        <item x="17"/>
        <item x="212"/>
        <item x="126"/>
        <item x="63"/>
        <item x="152"/>
        <item x="219"/>
        <item x="19"/>
        <item x="121"/>
        <item x="266"/>
        <item x="206"/>
        <item x="204"/>
        <item x="222"/>
        <item x="28"/>
        <item x="205"/>
        <item x="94"/>
        <item x="173"/>
        <item x="44"/>
        <item x="77"/>
        <item x="41"/>
        <item x="76"/>
        <item x="67"/>
        <item x="72"/>
        <item x="16"/>
        <item x="132"/>
        <item x="226"/>
        <item x="103"/>
        <item x="5"/>
        <item x="105"/>
        <item x="158"/>
        <item x="43"/>
        <item x="179"/>
        <item x="9"/>
        <item x="119"/>
        <item x="159"/>
        <item x="70"/>
        <item x="211"/>
        <item x="125"/>
        <item x="82"/>
        <item x="180"/>
        <item x="255"/>
        <item x="75"/>
        <item x="146"/>
        <item x="203"/>
        <item x="61"/>
        <item x="208"/>
        <item x="271"/>
        <item x="258"/>
        <item x="117"/>
        <item x="20"/>
        <item x="165"/>
        <item x="80"/>
        <item x="237"/>
        <item x="57"/>
        <item x="45"/>
        <item x="207"/>
        <item x="149"/>
        <item x="228"/>
        <item x="194"/>
        <item x="69"/>
        <item x="230"/>
        <item x="107"/>
        <item x="3"/>
        <item x="160"/>
        <item x="145"/>
        <item x="225"/>
        <item x="127"/>
        <item x="46"/>
        <item x="244"/>
        <item x="120"/>
        <item x="102"/>
        <item x="189"/>
        <item x="252"/>
        <item x="201"/>
        <item x="135"/>
        <item x="113"/>
        <item x="170"/>
        <item x="39"/>
        <item x="96"/>
        <item x="263"/>
        <item x="150"/>
        <item x="216"/>
        <item x="227"/>
        <item x="202"/>
        <item x="31"/>
        <item x="168"/>
        <item x="241"/>
        <item x="118"/>
        <item x="24"/>
        <item x="209"/>
        <item x="183"/>
        <item x="215"/>
        <item x="247"/>
        <item x="30"/>
        <item x="140"/>
        <item x="177"/>
        <item x="106"/>
        <item x="186"/>
        <item x="32"/>
        <item x="37"/>
        <item x="196"/>
        <item x="34"/>
        <item x="231"/>
        <item x="35"/>
        <item x="91"/>
        <item x="238"/>
        <item x="185"/>
        <item x="257"/>
        <item x="7"/>
        <item x="4"/>
        <item x="243"/>
        <item x="1"/>
        <item x="223"/>
        <item x="111"/>
        <item x="0"/>
        <item x="142"/>
        <item x="78"/>
        <item x="182"/>
        <item x="256"/>
        <item x="51"/>
        <item x="122"/>
        <item x="18"/>
        <item x="169"/>
        <item x="123"/>
        <item x="264"/>
        <item x="131"/>
        <item x="48"/>
        <item x="229"/>
        <item x="14"/>
        <item x="25"/>
        <item x="218"/>
        <item x="184"/>
        <item x="6"/>
        <item x="50"/>
        <item x="217"/>
        <item x="235"/>
        <item x="92"/>
        <item x="221"/>
        <item x="188"/>
        <item x="136"/>
        <item x="239"/>
        <item x="268"/>
        <item x="81"/>
        <item x="52"/>
        <item x="250"/>
        <item x="47"/>
        <item x="87"/>
        <item x="100"/>
        <item x="148"/>
        <item x="108"/>
        <item x="210"/>
        <item x="42"/>
        <item x="128"/>
        <item x="53"/>
        <item x="272"/>
        <item x="181"/>
        <item x="192"/>
        <item x="249"/>
        <item x="174"/>
        <item x="29"/>
        <item x="71"/>
        <item x="233"/>
        <item x="114"/>
        <item x="8"/>
        <item x="90"/>
        <item x="21"/>
        <item x="191"/>
        <item x="213"/>
        <item x="269"/>
        <item x="99"/>
        <item x="164"/>
        <item x="163"/>
        <item x="84"/>
        <item x="129"/>
        <item x="236"/>
        <item x="85"/>
        <item x="58"/>
        <item x="86"/>
        <item x="60"/>
        <item x="156"/>
        <item x="89"/>
        <item x="36"/>
        <item x="104"/>
        <item x="83"/>
        <item x="130"/>
        <item x="198"/>
        <item x="62"/>
        <item x="56"/>
        <item x="49"/>
        <item x="79"/>
        <item x="157"/>
        <item x="153"/>
        <item x="254"/>
        <item x="172"/>
        <item x="166"/>
        <item x="199"/>
        <item x="240"/>
        <item x="93"/>
        <item x="267"/>
        <item x="154"/>
        <item x="95"/>
        <item x="175"/>
        <item x="68"/>
        <item x="134"/>
        <item x="197"/>
        <item x="214"/>
        <item x="147"/>
        <item x="224"/>
        <item x="12"/>
        <item x="195"/>
        <item x="265"/>
        <item x="232"/>
        <item x="167"/>
        <item x="143"/>
        <item x="10"/>
        <item x="2"/>
        <item x="101"/>
        <item x="190"/>
        <item x="33"/>
        <item x="138"/>
        <item x="27"/>
        <item x="176"/>
        <item x="187"/>
        <item x="98"/>
        <item x="112"/>
        <item x="97"/>
        <item x="260"/>
        <item x="171"/>
        <item x="261"/>
        <item x="54"/>
        <item x="38"/>
        <item x="22"/>
        <item x="74"/>
        <item x="242"/>
        <item x="259"/>
        <item x="13"/>
        <item x="40"/>
        <item x="200"/>
        <item x="245"/>
        <item x="234"/>
        <item x="133"/>
        <item x="65"/>
        <item x="270"/>
        <item x="88"/>
        <item x="110"/>
        <item x="141"/>
        <item x="73"/>
        <item x="66"/>
        <item x="64"/>
        <item x="248"/>
        <item x="155"/>
        <item t="default"/>
      </items>
    </pivotField>
    <pivotField showAll="0"/>
    <pivotField axis="axisRow" showAll="0">
      <items count="11">
        <item x="2"/>
        <item x="8"/>
        <item x="4"/>
        <item x="9"/>
        <item x="5"/>
        <item x="7"/>
        <item x="6"/>
        <item x="1"/>
        <item x="0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00623-2C33-4409-8926-A50961073212}" name="que1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 fieldListSortAscending="1">
  <location ref="G3:H8" firstHeaderRow="1" firstDataRow="1" firstDataCol="1"/>
  <pivotFields count="14">
    <pivotField showAll="0"/>
    <pivotField showAll="0">
      <items count="275">
        <item x="251"/>
        <item x="151"/>
        <item x="162"/>
        <item x="124"/>
        <item x="116"/>
        <item x="137"/>
        <item x="161"/>
        <item x="273"/>
        <item x="144"/>
        <item x="246"/>
        <item x="262"/>
        <item x="178"/>
        <item x="115"/>
        <item x="193"/>
        <item x="26"/>
        <item x="139"/>
        <item x="11"/>
        <item x="220"/>
        <item x="15"/>
        <item x="109"/>
        <item x="55"/>
        <item x="253"/>
        <item x="23"/>
        <item x="59"/>
        <item x="17"/>
        <item x="212"/>
        <item x="126"/>
        <item x="63"/>
        <item x="152"/>
        <item x="219"/>
        <item x="19"/>
        <item x="121"/>
        <item x="266"/>
        <item x="206"/>
        <item x="204"/>
        <item x="222"/>
        <item x="28"/>
        <item x="205"/>
        <item x="94"/>
        <item x="173"/>
        <item x="44"/>
        <item x="77"/>
        <item x="41"/>
        <item x="76"/>
        <item x="67"/>
        <item x="72"/>
        <item x="16"/>
        <item x="132"/>
        <item x="226"/>
        <item x="103"/>
        <item x="5"/>
        <item x="105"/>
        <item x="158"/>
        <item x="43"/>
        <item x="179"/>
        <item x="9"/>
        <item x="119"/>
        <item x="159"/>
        <item x="70"/>
        <item x="211"/>
        <item x="125"/>
        <item x="82"/>
        <item x="180"/>
        <item x="255"/>
        <item x="75"/>
        <item x="146"/>
        <item x="203"/>
        <item x="61"/>
        <item x="208"/>
        <item x="271"/>
        <item x="258"/>
        <item x="117"/>
        <item x="20"/>
        <item x="165"/>
        <item x="80"/>
        <item x="237"/>
        <item x="57"/>
        <item x="45"/>
        <item x="207"/>
        <item x="149"/>
        <item x="228"/>
        <item x="194"/>
        <item x="69"/>
        <item x="230"/>
        <item x="107"/>
        <item x="3"/>
        <item x="160"/>
        <item x="145"/>
        <item x="225"/>
        <item x="127"/>
        <item x="46"/>
        <item x="244"/>
        <item x="120"/>
        <item x="102"/>
        <item x="189"/>
        <item x="252"/>
        <item x="201"/>
        <item x="135"/>
        <item x="113"/>
        <item x="170"/>
        <item x="39"/>
        <item x="96"/>
        <item x="263"/>
        <item x="150"/>
        <item x="216"/>
        <item x="227"/>
        <item x="202"/>
        <item x="31"/>
        <item x="168"/>
        <item x="241"/>
        <item x="118"/>
        <item x="24"/>
        <item x="209"/>
        <item x="183"/>
        <item x="215"/>
        <item x="247"/>
        <item x="30"/>
        <item x="140"/>
        <item x="177"/>
        <item x="106"/>
        <item x="186"/>
        <item x="32"/>
        <item x="37"/>
        <item x="196"/>
        <item x="34"/>
        <item x="231"/>
        <item x="35"/>
        <item x="91"/>
        <item x="238"/>
        <item x="185"/>
        <item x="257"/>
        <item x="7"/>
        <item x="4"/>
        <item x="243"/>
        <item x="1"/>
        <item x="223"/>
        <item x="111"/>
        <item x="0"/>
        <item x="142"/>
        <item x="78"/>
        <item x="182"/>
        <item x="256"/>
        <item x="51"/>
        <item x="122"/>
        <item x="18"/>
        <item x="169"/>
        <item x="123"/>
        <item x="264"/>
        <item x="131"/>
        <item x="48"/>
        <item x="229"/>
        <item x="14"/>
        <item x="25"/>
        <item x="218"/>
        <item x="184"/>
        <item x="6"/>
        <item x="50"/>
        <item x="217"/>
        <item x="235"/>
        <item x="92"/>
        <item x="221"/>
        <item x="188"/>
        <item x="136"/>
        <item x="239"/>
        <item x="268"/>
        <item x="81"/>
        <item x="52"/>
        <item x="250"/>
        <item x="47"/>
        <item x="87"/>
        <item x="100"/>
        <item x="148"/>
        <item x="108"/>
        <item x="210"/>
        <item x="42"/>
        <item x="128"/>
        <item x="53"/>
        <item x="272"/>
        <item x="181"/>
        <item x="192"/>
        <item x="249"/>
        <item x="174"/>
        <item x="29"/>
        <item x="71"/>
        <item x="233"/>
        <item x="114"/>
        <item x="8"/>
        <item x="90"/>
        <item x="21"/>
        <item x="191"/>
        <item x="213"/>
        <item x="269"/>
        <item x="99"/>
        <item x="164"/>
        <item x="163"/>
        <item x="84"/>
        <item x="129"/>
        <item x="236"/>
        <item x="85"/>
        <item x="58"/>
        <item x="86"/>
        <item x="60"/>
        <item x="156"/>
        <item x="89"/>
        <item x="36"/>
        <item x="104"/>
        <item x="83"/>
        <item x="130"/>
        <item x="198"/>
        <item x="62"/>
        <item x="56"/>
        <item x="49"/>
        <item x="79"/>
        <item x="157"/>
        <item x="153"/>
        <item x="254"/>
        <item x="172"/>
        <item x="166"/>
        <item x="199"/>
        <item x="240"/>
        <item x="93"/>
        <item x="267"/>
        <item x="154"/>
        <item x="95"/>
        <item x="175"/>
        <item x="68"/>
        <item x="134"/>
        <item x="197"/>
        <item x="214"/>
        <item x="147"/>
        <item x="224"/>
        <item x="12"/>
        <item x="195"/>
        <item x="265"/>
        <item x="232"/>
        <item x="167"/>
        <item x="143"/>
        <item x="10"/>
        <item x="2"/>
        <item x="101"/>
        <item x="190"/>
        <item x="33"/>
        <item x="138"/>
        <item x="27"/>
        <item x="176"/>
        <item x="187"/>
        <item x="98"/>
        <item x="112"/>
        <item x="97"/>
        <item x="260"/>
        <item x="171"/>
        <item x="261"/>
        <item x="54"/>
        <item x="38"/>
        <item x="22"/>
        <item x="74"/>
        <item x="242"/>
        <item x="259"/>
        <item x="13"/>
        <item x="40"/>
        <item x="200"/>
        <item x="245"/>
        <item x="234"/>
        <item x="133"/>
        <item x="65"/>
        <item x="270"/>
        <item x="88"/>
        <item x="110"/>
        <item x="141"/>
        <item x="73"/>
        <item x="66"/>
        <item x="64"/>
        <item x="248"/>
        <item x="155"/>
        <item t="default"/>
      </items>
    </pivotField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" fld="10" subtotal="average" baseField="0" baseItem="0"/>
  </dataFields>
  <formats count="1">
    <format dxfId="1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9D270-A290-417D-A451-853DA380030D}" name="que1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fieldListSortAscending="1">
  <location ref="A11:B13" firstHeaderRow="1" firstDataRow="1" firstDataCol="1"/>
  <pivotFields count="12">
    <pivotField showAll="0"/>
    <pivotField axis="axisRow" showAll="0">
      <items count="275">
        <item x="251"/>
        <item x="151"/>
        <item x="162"/>
        <item x="124"/>
        <item x="116"/>
        <item x="137"/>
        <item x="161"/>
        <item x="273"/>
        <item x="144"/>
        <item x="246"/>
        <item x="262"/>
        <item x="178"/>
        <item x="115"/>
        <item x="193"/>
        <item x="26"/>
        <item x="139"/>
        <item x="11"/>
        <item x="220"/>
        <item x="15"/>
        <item x="109"/>
        <item x="55"/>
        <item x="253"/>
        <item x="23"/>
        <item x="59"/>
        <item x="17"/>
        <item x="212"/>
        <item x="126"/>
        <item x="63"/>
        <item x="152"/>
        <item x="219"/>
        <item x="19"/>
        <item x="121"/>
        <item x="266"/>
        <item x="206"/>
        <item x="204"/>
        <item x="222"/>
        <item x="28"/>
        <item x="205"/>
        <item x="94"/>
        <item x="173"/>
        <item x="44"/>
        <item x="77"/>
        <item x="41"/>
        <item x="76"/>
        <item x="67"/>
        <item x="72"/>
        <item x="16"/>
        <item x="132"/>
        <item x="226"/>
        <item x="103"/>
        <item x="5"/>
        <item x="105"/>
        <item x="158"/>
        <item x="43"/>
        <item x="179"/>
        <item x="9"/>
        <item x="119"/>
        <item x="159"/>
        <item x="70"/>
        <item x="211"/>
        <item x="125"/>
        <item x="82"/>
        <item x="180"/>
        <item x="255"/>
        <item x="75"/>
        <item x="146"/>
        <item x="203"/>
        <item x="61"/>
        <item x="208"/>
        <item x="271"/>
        <item x="258"/>
        <item x="117"/>
        <item x="20"/>
        <item x="165"/>
        <item x="80"/>
        <item x="237"/>
        <item x="57"/>
        <item x="45"/>
        <item x="207"/>
        <item x="149"/>
        <item x="228"/>
        <item x="194"/>
        <item x="69"/>
        <item x="230"/>
        <item x="107"/>
        <item x="3"/>
        <item x="160"/>
        <item x="145"/>
        <item x="225"/>
        <item x="127"/>
        <item x="46"/>
        <item x="244"/>
        <item x="120"/>
        <item x="102"/>
        <item x="189"/>
        <item x="252"/>
        <item x="201"/>
        <item x="135"/>
        <item x="113"/>
        <item x="170"/>
        <item x="39"/>
        <item x="96"/>
        <item x="263"/>
        <item x="150"/>
        <item x="216"/>
        <item x="227"/>
        <item x="202"/>
        <item x="31"/>
        <item x="168"/>
        <item x="241"/>
        <item x="118"/>
        <item x="24"/>
        <item x="209"/>
        <item x="183"/>
        <item x="215"/>
        <item x="247"/>
        <item x="30"/>
        <item x="140"/>
        <item x="177"/>
        <item x="106"/>
        <item x="186"/>
        <item x="32"/>
        <item x="37"/>
        <item x="196"/>
        <item x="34"/>
        <item x="231"/>
        <item x="35"/>
        <item x="91"/>
        <item x="238"/>
        <item x="185"/>
        <item x="257"/>
        <item x="7"/>
        <item x="4"/>
        <item x="243"/>
        <item x="1"/>
        <item x="223"/>
        <item x="111"/>
        <item x="0"/>
        <item x="142"/>
        <item x="78"/>
        <item x="182"/>
        <item x="256"/>
        <item x="51"/>
        <item x="122"/>
        <item x="18"/>
        <item x="169"/>
        <item x="123"/>
        <item x="264"/>
        <item x="131"/>
        <item x="48"/>
        <item x="229"/>
        <item x="14"/>
        <item x="25"/>
        <item x="218"/>
        <item x="184"/>
        <item x="6"/>
        <item x="50"/>
        <item x="217"/>
        <item x="235"/>
        <item x="92"/>
        <item x="221"/>
        <item x="188"/>
        <item x="136"/>
        <item x="239"/>
        <item x="268"/>
        <item x="81"/>
        <item x="52"/>
        <item x="250"/>
        <item x="47"/>
        <item x="87"/>
        <item x="100"/>
        <item x="148"/>
        <item x="108"/>
        <item x="210"/>
        <item x="42"/>
        <item x="128"/>
        <item x="53"/>
        <item x="272"/>
        <item x="181"/>
        <item x="192"/>
        <item x="249"/>
        <item x="174"/>
        <item x="29"/>
        <item x="71"/>
        <item x="233"/>
        <item x="114"/>
        <item x="8"/>
        <item x="90"/>
        <item x="21"/>
        <item x="191"/>
        <item x="213"/>
        <item x="269"/>
        <item x="99"/>
        <item x="164"/>
        <item x="163"/>
        <item x="84"/>
        <item x="129"/>
        <item x="236"/>
        <item x="85"/>
        <item x="58"/>
        <item x="86"/>
        <item x="60"/>
        <item x="156"/>
        <item x="89"/>
        <item x="36"/>
        <item x="104"/>
        <item x="83"/>
        <item x="130"/>
        <item x="198"/>
        <item x="62"/>
        <item x="56"/>
        <item x="49"/>
        <item x="79"/>
        <item x="157"/>
        <item x="153"/>
        <item x="254"/>
        <item x="172"/>
        <item x="166"/>
        <item x="199"/>
        <item x="240"/>
        <item x="93"/>
        <item x="267"/>
        <item x="154"/>
        <item x="95"/>
        <item x="175"/>
        <item x="68"/>
        <item x="134"/>
        <item x="197"/>
        <item x="214"/>
        <item x="147"/>
        <item x="224"/>
        <item x="12"/>
        <item x="195"/>
        <item x="265"/>
        <item x="232"/>
        <item x="167"/>
        <item x="143"/>
        <item x="10"/>
        <item x="2"/>
        <item x="101"/>
        <item x="190"/>
        <item x="33"/>
        <item x="138"/>
        <item x="27"/>
        <item x="176"/>
        <item x="187"/>
        <item x="98"/>
        <item x="112"/>
        <item x="97"/>
        <item x="260"/>
        <item x="171"/>
        <item x="261"/>
        <item x="54"/>
        <item x="38"/>
        <item x="22"/>
        <item x="74"/>
        <item x="242"/>
        <item x="259"/>
        <item x="13"/>
        <item x="40"/>
        <item x="200"/>
        <item x="245"/>
        <item x="234"/>
        <item x="133"/>
        <item x="65"/>
        <item x="270"/>
        <item x="88"/>
        <item x="110"/>
        <item x="141"/>
        <item x="73"/>
        <item x="66"/>
        <item x="64"/>
        <item x="248"/>
        <item x="15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2">
    <field x="11"/>
    <field x="1"/>
  </rowFields>
  <rowItems count="2">
    <i>
      <x v="6"/>
    </i>
    <i t="grand">
      <x/>
    </i>
  </rowItems>
  <colItems count="1">
    <i/>
  </colItems>
  <dataFields count="1">
    <dataField name="Sum of Qty" fld="6" baseField="0" baseItem="0"/>
  </dataFields>
  <formats count="1">
    <format dxfId="2">
      <pivotArea dataOnly="0" labelOnly="1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54538-8C14-4636-8898-2244BC3457E3}" name="que1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person" fieldListSortAscending="1">
  <location ref="A3:B9" firstHeaderRow="1" firstDataRow="1" firstDataCol="1"/>
  <pivotFields count="14">
    <pivotField showAll="0"/>
    <pivotField showAll="0">
      <items count="275">
        <item x="251"/>
        <item x="151"/>
        <item x="162"/>
        <item x="124"/>
        <item x="116"/>
        <item x="137"/>
        <item x="161"/>
        <item x="273"/>
        <item x="144"/>
        <item x="246"/>
        <item x="262"/>
        <item x="178"/>
        <item x="115"/>
        <item x="193"/>
        <item x="26"/>
        <item x="139"/>
        <item x="11"/>
        <item x="220"/>
        <item x="15"/>
        <item x="109"/>
        <item x="55"/>
        <item x="253"/>
        <item x="23"/>
        <item x="59"/>
        <item x="17"/>
        <item x="212"/>
        <item x="126"/>
        <item x="63"/>
        <item x="152"/>
        <item x="219"/>
        <item x="19"/>
        <item x="121"/>
        <item x="266"/>
        <item x="206"/>
        <item x="204"/>
        <item x="222"/>
        <item x="28"/>
        <item x="205"/>
        <item x="94"/>
        <item x="173"/>
        <item x="44"/>
        <item x="77"/>
        <item x="41"/>
        <item x="76"/>
        <item x="67"/>
        <item x="72"/>
        <item x="16"/>
        <item x="132"/>
        <item x="226"/>
        <item x="103"/>
        <item x="5"/>
        <item x="105"/>
        <item x="158"/>
        <item x="43"/>
        <item x="179"/>
        <item x="9"/>
        <item x="119"/>
        <item x="159"/>
        <item x="70"/>
        <item x="211"/>
        <item x="125"/>
        <item x="82"/>
        <item x="180"/>
        <item x="255"/>
        <item x="75"/>
        <item x="146"/>
        <item x="203"/>
        <item x="61"/>
        <item x="208"/>
        <item x="271"/>
        <item x="258"/>
        <item x="117"/>
        <item x="20"/>
        <item x="165"/>
        <item x="80"/>
        <item x="237"/>
        <item x="57"/>
        <item x="45"/>
        <item x="207"/>
        <item x="149"/>
        <item x="228"/>
        <item x="194"/>
        <item x="69"/>
        <item x="230"/>
        <item x="107"/>
        <item x="3"/>
        <item x="160"/>
        <item x="145"/>
        <item x="225"/>
        <item x="127"/>
        <item x="46"/>
        <item x="244"/>
        <item x="120"/>
        <item x="102"/>
        <item x="189"/>
        <item x="252"/>
        <item x="201"/>
        <item x="135"/>
        <item x="113"/>
        <item x="170"/>
        <item x="39"/>
        <item x="96"/>
        <item x="263"/>
        <item x="150"/>
        <item x="216"/>
        <item x="227"/>
        <item x="202"/>
        <item x="31"/>
        <item x="168"/>
        <item x="241"/>
        <item x="118"/>
        <item x="24"/>
        <item x="209"/>
        <item x="183"/>
        <item x="215"/>
        <item x="247"/>
        <item x="30"/>
        <item x="140"/>
        <item x="177"/>
        <item x="106"/>
        <item x="186"/>
        <item x="32"/>
        <item x="37"/>
        <item x="196"/>
        <item x="34"/>
        <item x="231"/>
        <item x="35"/>
        <item x="91"/>
        <item x="238"/>
        <item x="185"/>
        <item x="257"/>
        <item x="7"/>
        <item x="4"/>
        <item x="243"/>
        <item x="1"/>
        <item x="223"/>
        <item x="111"/>
        <item x="0"/>
        <item x="142"/>
        <item x="78"/>
        <item x="182"/>
        <item x="256"/>
        <item x="51"/>
        <item x="122"/>
        <item x="18"/>
        <item x="169"/>
        <item x="123"/>
        <item x="264"/>
        <item x="131"/>
        <item x="48"/>
        <item x="229"/>
        <item x="14"/>
        <item x="25"/>
        <item x="218"/>
        <item x="184"/>
        <item x="6"/>
        <item x="50"/>
        <item x="217"/>
        <item x="235"/>
        <item x="92"/>
        <item x="221"/>
        <item x="188"/>
        <item x="136"/>
        <item x="239"/>
        <item x="268"/>
        <item x="81"/>
        <item x="52"/>
        <item x="250"/>
        <item x="47"/>
        <item x="87"/>
        <item x="100"/>
        <item x="148"/>
        <item x="108"/>
        <item x="210"/>
        <item x="42"/>
        <item x="128"/>
        <item x="53"/>
        <item x="272"/>
        <item x="181"/>
        <item x="192"/>
        <item x="249"/>
        <item x="174"/>
        <item x="29"/>
        <item x="71"/>
        <item x="233"/>
        <item x="114"/>
        <item x="8"/>
        <item x="90"/>
        <item x="21"/>
        <item x="191"/>
        <item x="213"/>
        <item x="269"/>
        <item x="99"/>
        <item x="164"/>
        <item x="163"/>
        <item x="84"/>
        <item x="129"/>
        <item x="236"/>
        <item x="85"/>
        <item x="58"/>
        <item x="86"/>
        <item x="60"/>
        <item x="156"/>
        <item x="89"/>
        <item x="36"/>
        <item x="104"/>
        <item x="83"/>
        <item x="130"/>
        <item x="198"/>
        <item x="62"/>
        <item x="56"/>
        <item x="49"/>
        <item x="79"/>
        <item x="157"/>
        <item x="153"/>
        <item x="254"/>
        <item x="172"/>
        <item x="166"/>
        <item x="199"/>
        <item x="240"/>
        <item x="93"/>
        <item x="267"/>
        <item x="154"/>
        <item x="95"/>
        <item x="175"/>
        <item x="68"/>
        <item x="134"/>
        <item x="197"/>
        <item x="214"/>
        <item x="147"/>
        <item x="224"/>
        <item x="12"/>
        <item x="195"/>
        <item x="265"/>
        <item x="232"/>
        <item x="167"/>
        <item x="143"/>
        <item x="10"/>
        <item x="2"/>
        <item x="101"/>
        <item x="190"/>
        <item x="33"/>
        <item x="138"/>
        <item x="27"/>
        <item x="176"/>
        <item x="187"/>
        <item x="98"/>
        <item x="112"/>
        <item x="97"/>
        <item x="260"/>
        <item x="171"/>
        <item x="261"/>
        <item x="54"/>
        <item x="38"/>
        <item x="22"/>
        <item x="74"/>
        <item x="242"/>
        <item x="259"/>
        <item x="13"/>
        <item x="40"/>
        <item x="200"/>
        <item x="245"/>
        <item x="234"/>
        <item x="133"/>
        <item x="65"/>
        <item x="270"/>
        <item x="88"/>
        <item x="110"/>
        <item x="141"/>
        <item x="73"/>
        <item x="66"/>
        <item x="64"/>
        <item x="248"/>
        <item x="15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C13" sqref="C13"/>
    </sheetView>
  </sheetViews>
  <sheetFormatPr defaultRowHeight="15" x14ac:dyDescent="0.25"/>
  <cols>
    <col min="1" max="1" width="10.140625" customWidth="1"/>
    <col min="2" max="2" width="10.42578125" style="9" bestFit="1" customWidth="1"/>
    <col min="3" max="3" width="11.7109375" customWidth="1"/>
    <col min="4" max="4" width="8.7109375" bestFit="1" customWidth="1"/>
    <col min="5" max="5" width="11" customWidth="1"/>
    <col min="6" max="6" width="10" customWidth="1"/>
    <col min="7" max="7" width="6.28515625" customWidth="1"/>
    <col min="8" max="8" width="11.42578125" customWidth="1"/>
    <col min="9" max="9" width="12.42578125" customWidth="1"/>
    <col min="10" max="10" width="13.85546875" customWidth="1"/>
  </cols>
  <sheetData>
    <row r="1" spans="1:12" x14ac:dyDescent="0.25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87</v>
      </c>
      <c r="L1" s="3" t="s">
        <v>88</v>
      </c>
    </row>
    <row r="2" spans="1:12" x14ac:dyDescent="0.25">
      <c r="A2" s="2">
        <v>10001</v>
      </c>
      <c r="B2" s="8">
        <v>45845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13</v>
      </c>
      <c r="H2" s="2">
        <v>1544.73</v>
      </c>
      <c r="I2" s="2">
        <v>15</v>
      </c>
      <c r="J2" s="2" t="s">
        <v>14</v>
      </c>
      <c r="K2">
        <f>G2*H2</f>
        <v>20081.490000000002</v>
      </c>
      <c r="L2">
        <f>K2-(K2*I2/100)</f>
        <v>17069.266500000002</v>
      </c>
    </row>
    <row r="3" spans="1:12" x14ac:dyDescent="0.25">
      <c r="A3" s="2">
        <v>10002</v>
      </c>
      <c r="B3" s="8">
        <v>45842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20</v>
      </c>
      <c r="H3" s="2">
        <v>1583.87</v>
      </c>
      <c r="I3" s="2">
        <v>5</v>
      </c>
      <c r="J3" s="2" t="s">
        <v>19</v>
      </c>
      <c r="K3">
        <f t="shared" ref="K3:K66" si="0">G3*H3</f>
        <v>31677.399999999998</v>
      </c>
      <c r="L3">
        <f>K3-(K3*I3/100)</f>
        <v>30093.53</v>
      </c>
    </row>
    <row r="4" spans="1:12" x14ac:dyDescent="0.25">
      <c r="A4" s="2">
        <v>10003</v>
      </c>
      <c r="B4" s="8">
        <v>45974</v>
      </c>
      <c r="C4" s="2" t="s">
        <v>20</v>
      </c>
      <c r="D4" s="2" t="s">
        <v>21</v>
      </c>
      <c r="E4" s="2" t="s">
        <v>12</v>
      </c>
      <c r="F4" s="2" t="s">
        <v>22</v>
      </c>
      <c r="G4" s="2">
        <v>17</v>
      </c>
      <c r="H4" s="2">
        <v>4228.53</v>
      </c>
      <c r="I4" s="2">
        <v>20</v>
      </c>
      <c r="J4" s="2" t="s">
        <v>23</v>
      </c>
      <c r="K4">
        <f t="shared" si="0"/>
        <v>71885.009999999995</v>
      </c>
      <c r="L4">
        <f>K4-(K4*I4/100)</f>
        <v>57508.007999999994</v>
      </c>
    </row>
    <row r="5" spans="1:12" x14ac:dyDescent="0.25">
      <c r="A5" s="2">
        <v>10004</v>
      </c>
      <c r="B5" s="8">
        <v>45770</v>
      </c>
      <c r="C5" s="2" t="s">
        <v>24</v>
      </c>
      <c r="D5" s="2" t="s">
        <v>25</v>
      </c>
      <c r="E5" s="2" t="s">
        <v>12</v>
      </c>
      <c r="F5" s="2" t="s">
        <v>22</v>
      </c>
      <c r="G5" s="2">
        <v>6</v>
      </c>
      <c r="H5" s="2">
        <v>1965.31</v>
      </c>
      <c r="I5" s="2">
        <v>15</v>
      </c>
      <c r="J5" s="2" t="s">
        <v>26</v>
      </c>
      <c r="K5">
        <f t="shared" si="0"/>
        <v>11791.86</v>
      </c>
      <c r="L5">
        <f>K5-(K5*I5/100)</f>
        <v>10023.081</v>
      </c>
    </row>
    <row r="6" spans="1:12" x14ac:dyDescent="0.25">
      <c r="A6" s="2">
        <v>10005</v>
      </c>
      <c r="B6" s="8">
        <v>45839</v>
      </c>
      <c r="C6" s="2" t="s">
        <v>27</v>
      </c>
      <c r="D6" s="2" t="s">
        <v>25</v>
      </c>
      <c r="E6" s="2" t="s">
        <v>17</v>
      </c>
      <c r="F6" s="2" t="s">
        <v>28</v>
      </c>
      <c r="G6" s="2">
        <v>1</v>
      </c>
      <c r="H6" s="2">
        <v>4661.57</v>
      </c>
      <c r="I6" s="2">
        <v>10</v>
      </c>
      <c r="J6" s="2" t="s">
        <v>14</v>
      </c>
      <c r="K6">
        <f t="shared" si="0"/>
        <v>4661.57</v>
      </c>
      <c r="L6">
        <f>K6-(K6*I6/100)</f>
        <v>4195.4129999999996</v>
      </c>
    </row>
    <row r="7" spans="1:12" x14ac:dyDescent="0.25">
      <c r="A7" s="2">
        <v>10006</v>
      </c>
      <c r="B7" s="8">
        <v>45720</v>
      </c>
      <c r="C7" s="2" t="s">
        <v>15</v>
      </c>
      <c r="D7" s="2" t="s">
        <v>29</v>
      </c>
      <c r="E7" s="2" t="s">
        <v>17</v>
      </c>
      <c r="F7" s="2" t="s">
        <v>28</v>
      </c>
      <c r="G7" s="2">
        <v>9</v>
      </c>
      <c r="H7" s="2">
        <v>4775.83</v>
      </c>
      <c r="I7" s="2">
        <v>20</v>
      </c>
      <c r="J7" s="2" t="s">
        <v>30</v>
      </c>
      <c r="K7">
        <f t="shared" si="0"/>
        <v>42982.47</v>
      </c>
      <c r="L7">
        <f>K7-(K7*I7/100)</f>
        <v>34385.976000000002</v>
      </c>
    </row>
    <row r="8" spans="1:12" x14ac:dyDescent="0.25">
      <c r="A8" s="2">
        <v>10007</v>
      </c>
      <c r="B8" s="8">
        <v>45867</v>
      </c>
      <c r="C8" s="2" t="s">
        <v>31</v>
      </c>
      <c r="D8" s="2" t="s">
        <v>25</v>
      </c>
      <c r="E8" s="2" t="s">
        <v>17</v>
      </c>
      <c r="F8" s="2" t="s">
        <v>18</v>
      </c>
      <c r="G8" s="2">
        <v>10</v>
      </c>
      <c r="H8" s="2">
        <v>2195</v>
      </c>
      <c r="I8" s="2">
        <v>5</v>
      </c>
      <c r="J8" s="2" t="s">
        <v>30</v>
      </c>
      <c r="K8">
        <f t="shared" si="0"/>
        <v>21950</v>
      </c>
      <c r="L8">
        <f>K8-(K8*I8/100)</f>
        <v>20852.5</v>
      </c>
    </row>
    <row r="9" spans="1:12" x14ac:dyDescent="0.25">
      <c r="A9" s="2">
        <v>10008</v>
      </c>
      <c r="B9" s="8">
        <v>45838</v>
      </c>
      <c r="C9" s="2" t="s">
        <v>32</v>
      </c>
      <c r="D9" s="2" t="s">
        <v>16</v>
      </c>
      <c r="E9" s="2" t="s">
        <v>12</v>
      </c>
      <c r="F9" s="2" t="s">
        <v>33</v>
      </c>
      <c r="G9" s="2">
        <v>3</v>
      </c>
      <c r="H9" s="2">
        <v>1341.02</v>
      </c>
      <c r="I9" s="2">
        <v>0</v>
      </c>
      <c r="J9" s="2" t="s">
        <v>14</v>
      </c>
      <c r="K9">
        <f t="shared" si="0"/>
        <v>4023.06</v>
      </c>
      <c r="L9">
        <f>K9-(K9*I9/100)</f>
        <v>4023.06</v>
      </c>
    </row>
    <row r="10" spans="1:12" x14ac:dyDescent="0.25">
      <c r="A10" s="2">
        <v>10009</v>
      </c>
      <c r="B10" s="8">
        <v>45904</v>
      </c>
      <c r="C10" s="2" t="s">
        <v>15</v>
      </c>
      <c r="D10" s="2" t="s">
        <v>21</v>
      </c>
      <c r="E10" s="2" t="s">
        <v>34</v>
      </c>
      <c r="F10" s="2" t="s">
        <v>35</v>
      </c>
      <c r="G10" s="2">
        <v>5</v>
      </c>
      <c r="H10" s="2">
        <v>3049.83</v>
      </c>
      <c r="I10" s="2">
        <v>0</v>
      </c>
      <c r="J10" s="2" t="s">
        <v>14</v>
      </c>
      <c r="K10">
        <f t="shared" si="0"/>
        <v>15249.15</v>
      </c>
      <c r="L10">
        <f>K10-(K10*I10/100)</f>
        <v>15249.15</v>
      </c>
    </row>
    <row r="11" spans="1:12" x14ac:dyDescent="0.25">
      <c r="A11" s="2">
        <v>10010</v>
      </c>
      <c r="B11" s="8">
        <v>45725</v>
      </c>
      <c r="C11" s="2" t="s">
        <v>10</v>
      </c>
      <c r="D11" s="2" t="s">
        <v>29</v>
      </c>
      <c r="E11" s="2" t="s">
        <v>17</v>
      </c>
      <c r="F11" s="2" t="s">
        <v>36</v>
      </c>
      <c r="G11" s="2">
        <v>3</v>
      </c>
      <c r="H11" s="2">
        <v>4281.4799999999996</v>
      </c>
      <c r="I11" s="2">
        <v>10</v>
      </c>
      <c r="J11" s="2" t="s">
        <v>30</v>
      </c>
      <c r="K11">
        <f t="shared" si="0"/>
        <v>12844.439999999999</v>
      </c>
      <c r="L11">
        <f>K11-(K11*I11/100)</f>
        <v>11559.995999999999</v>
      </c>
    </row>
    <row r="12" spans="1:12" x14ac:dyDescent="0.25">
      <c r="A12" s="2">
        <v>10011</v>
      </c>
      <c r="B12" s="8">
        <v>45971</v>
      </c>
      <c r="C12" s="2" t="s">
        <v>10</v>
      </c>
      <c r="D12" s="2" t="s">
        <v>37</v>
      </c>
      <c r="E12" s="2" t="s">
        <v>34</v>
      </c>
      <c r="F12" s="2" t="s">
        <v>38</v>
      </c>
      <c r="G12" s="2">
        <v>9</v>
      </c>
      <c r="H12" s="2">
        <v>3933.1</v>
      </c>
      <c r="I12" s="2">
        <v>20</v>
      </c>
      <c r="J12" s="2" t="s">
        <v>30</v>
      </c>
      <c r="K12">
        <f t="shared" si="0"/>
        <v>35397.9</v>
      </c>
      <c r="L12">
        <f>K12-(K12*I12/100)</f>
        <v>28318.32</v>
      </c>
    </row>
    <row r="13" spans="1:12" x14ac:dyDescent="0.25">
      <c r="A13" s="2">
        <v>10012</v>
      </c>
      <c r="B13" s="8">
        <v>45680</v>
      </c>
      <c r="C13" s="2" t="s">
        <v>20</v>
      </c>
      <c r="D13" s="2" t="s">
        <v>37</v>
      </c>
      <c r="E13" s="2" t="s">
        <v>17</v>
      </c>
      <c r="F13" s="2" t="s">
        <v>36</v>
      </c>
      <c r="G13" s="2">
        <v>16</v>
      </c>
      <c r="H13" s="2">
        <v>1934.04</v>
      </c>
      <c r="I13" s="2">
        <v>5</v>
      </c>
      <c r="J13" s="2" t="s">
        <v>14</v>
      </c>
      <c r="K13">
        <f t="shared" si="0"/>
        <v>30944.639999999999</v>
      </c>
      <c r="L13">
        <f>K13-(K13*I13/100)</f>
        <v>29397.407999999999</v>
      </c>
    </row>
    <row r="14" spans="1:12" x14ac:dyDescent="0.25">
      <c r="A14" s="2">
        <v>10013</v>
      </c>
      <c r="B14" s="8">
        <v>45964</v>
      </c>
      <c r="C14" s="2" t="s">
        <v>39</v>
      </c>
      <c r="D14" s="2" t="s">
        <v>16</v>
      </c>
      <c r="E14" s="2" t="s">
        <v>40</v>
      </c>
      <c r="F14" s="2" t="s">
        <v>41</v>
      </c>
      <c r="G14" s="2">
        <v>17</v>
      </c>
      <c r="H14" s="2">
        <v>3573.48</v>
      </c>
      <c r="I14" s="2">
        <v>20</v>
      </c>
      <c r="J14" s="2" t="s">
        <v>26</v>
      </c>
      <c r="K14">
        <f t="shared" si="0"/>
        <v>60749.16</v>
      </c>
      <c r="L14">
        <f>K14-(K14*I14/100)</f>
        <v>48599.328000000001</v>
      </c>
    </row>
    <row r="15" spans="1:12" x14ac:dyDescent="0.25">
      <c r="A15" s="2">
        <v>10014</v>
      </c>
      <c r="B15" s="8">
        <v>46002</v>
      </c>
      <c r="C15" s="2" t="s">
        <v>42</v>
      </c>
      <c r="D15" s="2" t="s">
        <v>25</v>
      </c>
      <c r="E15" s="2" t="s">
        <v>12</v>
      </c>
      <c r="F15" s="2" t="s">
        <v>22</v>
      </c>
      <c r="G15" s="2">
        <v>2</v>
      </c>
      <c r="H15" s="2">
        <v>4119.25</v>
      </c>
      <c r="I15" s="2">
        <v>20</v>
      </c>
      <c r="J15" s="2" t="s">
        <v>23</v>
      </c>
      <c r="K15">
        <f t="shared" si="0"/>
        <v>8238.5</v>
      </c>
      <c r="L15">
        <f>K15-(K15*I15/100)</f>
        <v>6590.8</v>
      </c>
    </row>
    <row r="16" spans="1:12" x14ac:dyDescent="0.25">
      <c r="A16" s="2">
        <v>10015</v>
      </c>
      <c r="B16" s="8">
        <v>45863</v>
      </c>
      <c r="C16" s="2" t="s">
        <v>43</v>
      </c>
      <c r="D16" s="2" t="s">
        <v>11</v>
      </c>
      <c r="E16" s="2" t="s">
        <v>34</v>
      </c>
      <c r="F16" s="2" t="s">
        <v>38</v>
      </c>
      <c r="G16" s="2">
        <v>12</v>
      </c>
      <c r="H16" s="2">
        <v>3746.44</v>
      </c>
      <c r="I16" s="2">
        <v>20</v>
      </c>
      <c r="J16" s="2" t="s">
        <v>19</v>
      </c>
      <c r="K16">
        <f t="shared" si="0"/>
        <v>44957.279999999999</v>
      </c>
      <c r="L16">
        <f>K16-(K16*I16/100)</f>
        <v>35965.824000000001</v>
      </c>
    </row>
    <row r="17" spans="1:12" x14ac:dyDescent="0.25">
      <c r="A17" s="2">
        <v>10016</v>
      </c>
      <c r="B17" s="8">
        <v>45683</v>
      </c>
      <c r="C17" s="2" t="s">
        <v>43</v>
      </c>
      <c r="D17" s="2" t="s">
        <v>37</v>
      </c>
      <c r="E17" s="2" t="s">
        <v>12</v>
      </c>
      <c r="F17" s="2" t="s">
        <v>33</v>
      </c>
      <c r="G17" s="2">
        <v>20</v>
      </c>
      <c r="H17" s="2">
        <v>1527.48</v>
      </c>
      <c r="I17" s="2">
        <v>20</v>
      </c>
      <c r="J17" s="2" t="s">
        <v>30</v>
      </c>
      <c r="K17">
        <f t="shared" si="0"/>
        <v>30549.599999999999</v>
      </c>
      <c r="L17">
        <f>K17-(K17*I17/100)</f>
        <v>24439.68</v>
      </c>
    </row>
    <row r="18" spans="1:12" x14ac:dyDescent="0.25">
      <c r="A18" s="2">
        <v>10017</v>
      </c>
      <c r="B18" s="8">
        <v>45715</v>
      </c>
      <c r="C18" s="2" t="s">
        <v>20</v>
      </c>
      <c r="D18" s="2" t="s">
        <v>11</v>
      </c>
      <c r="E18" s="2" t="s">
        <v>34</v>
      </c>
      <c r="F18" s="2" t="s">
        <v>44</v>
      </c>
      <c r="G18" s="2">
        <v>19</v>
      </c>
      <c r="H18" s="2">
        <v>4994.29</v>
      </c>
      <c r="I18" s="2">
        <v>15</v>
      </c>
      <c r="J18" s="2" t="s">
        <v>19</v>
      </c>
      <c r="K18">
        <f t="shared" si="0"/>
        <v>94891.51</v>
      </c>
      <c r="L18">
        <f>K18-(K18*I18/100)</f>
        <v>80657.78349999999</v>
      </c>
    </row>
    <row r="19" spans="1:12" x14ac:dyDescent="0.25">
      <c r="A19" s="2">
        <v>10018</v>
      </c>
      <c r="B19" s="8">
        <v>45690</v>
      </c>
      <c r="C19" s="2" t="s">
        <v>10</v>
      </c>
      <c r="D19" s="2" t="s">
        <v>21</v>
      </c>
      <c r="E19" s="2" t="s">
        <v>12</v>
      </c>
      <c r="F19" s="2" t="s">
        <v>22</v>
      </c>
      <c r="G19" s="2">
        <v>14</v>
      </c>
      <c r="H19" s="2">
        <v>2289.5700000000002</v>
      </c>
      <c r="I19" s="2">
        <v>20</v>
      </c>
      <c r="J19" s="2" t="s">
        <v>23</v>
      </c>
      <c r="K19">
        <f t="shared" si="0"/>
        <v>32053.980000000003</v>
      </c>
      <c r="L19">
        <f>K19-(K19*I19/100)</f>
        <v>25643.184000000001</v>
      </c>
    </row>
    <row r="20" spans="1:12" x14ac:dyDescent="0.25">
      <c r="A20" s="2">
        <v>10019</v>
      </c>
      <c r="B20" s="8">
        <v>45853</v>
      </c>
      <c r="C20" s="2" t="s">
        <v>32</v>
      </c>
      <c r="D20" s="2" t="s">
        <v>45</v>
      </c>
      <c r="E20" s="2" t="s">
        <v>40</v>
      </c>
      <c r="F20" s="2" t="s">
        <v>46</v>
      </c>
      <c r="G20" s="2">
        <v>13</v>
      </c>
      <c r="H20" s="2">
        <v>2094.8200000000002</v>
      </c>
      <c r="I20" s="2">
        <v>15</v>
      </c>
      <c r="J20" s="2" t="s">
        <v>26</v>
      </c>
      <c r="K20">
        <f t="shared" si="0"/>
        <v>27232.660000000003</v>
      </c>
      <c r="L20">
        <f>K20-(K20*I20/100)</f>
        <v>23147.761000000002</v>
      </c>
    </row>
    <row r="21" spans="1:12" x14ac:dyDescent="0.25">
      <c r="A21" s="2">
        <v>10020</v>
      </c>
      <c r="B21" s="8">
        <v>45720</v>
      </c>
      <c r="C21" s="2" t="s">
        <v>15</v>
      </c>
      <c r="D21" s="2" t="s">
        <v>47</v>
      </c>
      <c r="E21" s="2" t="s">
        <v>17</v>
      </c>
      <c r="F21" s="2" t="s">
        <v>18</v>
      </c>
      <c r="G21" s="2">
        <v>12</v>
      </c>
      <c r="H21" s="2">
        <v>2786.09</v>
      </c>
      <c r="I21" s="2">
        <v>15</v>
      </c>
      <c r="J21" s="2" t="s">
        <v>26</v>
      </c>
      <c r="K21">
        <f t="shared" si="0"/>
        <v>33433.08</v>
      </c>
      <c r="L21">
        <f>K21-(K21*I21/100)</f>
        <v>28418.118000000002</v>
      </c>
    </row>
    <row r="22" spans="1:12" x14ac:dyDescent="0.25">
      <c r="A22" s="2">
        <v>10021</v>
      </c>
      <c r="B22" s="8">
        <v>45698</v>
      </c>
      <c r="C22" s="2" t="s">
        <v>20</v>
      </c>
      <c r="D22" s="2" t="s">
        <v>45</v>
      </c>
      <c r="E22" s="2" t="s">
        <v>34</v>
      </c>
      <c r="F22" s="2" t="s">
        <v>35</v>
      </c>
      <c r="G22" s="2">
        <v>18</v>
      </c>
      <c r="H22" s="2">
        <v>4654.1499999999996</v>
      </c>
      <c r="I22" s="2">
        <v>20</v>
      </c>
      <c r="J22" s="2" t="s">
        <v>30</v>
      </c>
      <c r="K22">
        <f t="shared" si="0"/>
        <v>83774.7</v>
      </c>
      <c r="L22">
        <f>K22-(K22*I22/100)</f>
        <v>67019.759999999995</v>
      </c>
    </row>
    <row r="23" spans="1:12" x14ac:dyDescent="0.25">
      <c r="A23" s="2">
        <v>10022</v>
      </c>
      <c r="B23" s="8">
        <v>45750</v>
      </c>
      <c r="C23" s="2" t="s">
        <v>48</v>
      </c>
      <c r="D23" s="2" t="s">
        <v>21</v>
      </c>
      <c r="E23" s="2" t="s">
        <v>40</v>
      </c>
      <c r="F23" s="2" t="s">
        <v>49</v>
      </c>
      <c r="G23" s="2">
        <v>18</v>
      </c>
      <c r="H23" s="2">
        <v>173.08</v>
      </c>
      <c r="I23" s="2">
        <v>0</v>
      </c>
      <c r="J23" s="2" t="s">
        <v>23</v>
      </c>
      <c r="K23">
        <f t="shared" si="0"/>
        <v>3115.44</v>
      </c>
      <c r="L23">
        <f>K23-(K23*I23/100)</f>
        <v>3115.44</v>
      </c>
    </row>
    <row r="24" spans="1:12" x14ac:dyDescent="0.25">
      <c r="A24" s="2">
        <v>10023</v>
      </c>
      <c r="B24" s="8">
        <v>45906</v>
      </c>
      <c r="C24" s="2" t="s">
        <v>48</v>
      </c>
      <c r="D24" s="2" t="s">
        <v>21</v>
      </c>
      <c r="E24" s="2" t="s">
        <v>34</v>
      </c>
      <c r="F24" s="2" t="s">
        <v>50</v>
      </c>
      <c r="G24" s="2">
        <v>11</v>
      </c>
      <c r="H24" s="2">
        <v>1761.18</v>
      </c>
      <c r="I24" s="2">
        <v>10</v>
      </c>
      <c r="J24" s="2" t="s">
        <v>30</v>
      </c>
      <c r="K24">
        <f t="shared" si="0"/>
        <v>19372.98</v>
      </c>
      <c r="L24">
        <f>K24-(K24*I24/100)</f>
        <v>17435.682000000001</v>
      </c>
    </row>
    <row r="25" spans="1:12" x14ac:dyDescent="0.25">
      <c r="A25" s="2">
        <v>10024</v>
      </c>
      <c r="B25" s="8">
        <v>45997</v>
      </c>
      <c r="C25" s="2" t="s">
        <v>32</v>
      </c>
      <c r="D25" s="2" t="s">
        <v>29</v>
      </c>
      <c r="E25" s="2" t="s">
        <v>17</v>
      </c>
      <c r="F25" s="2" t="s">
        <v>18</v>
      </c>
      <c r="G25" s="2">
        <v>18</v>
      </c>
      <c r="H25" s="2">
        <v>733.78</v>
      </c>
      <c r="I25" s="2">
        <v>5</v>
      </c>
      <c r="J25" s="2" t="s">
        <v>14</v>
      </c>
      <c r="K25">
        <f t="shared" si="0"/>
        <v>13208.039999999999</v>
      </c>
      <c r="L25">
        <f>K25-(K25*I25/100)</f>
        <v>12547.637999999999</v>
      </c>
    </row>
    <row r="26" spans="1:12" x14ac:dyDescent="0.25">
      <c r="A26" s="2">
        <v>10025</v>
      </c>
      <c r="B26" s="8">
        <v>45687</v>
      </c>
      <c r="C26" s="2" t="s">
        <v>10</v>
      </c>
      <c r="D26" s="2" t="s">
        <v>29</v>
      </c>
      <c r="E26" s="2" t="s">
        <v>40</v>
      </c>
      <c r="F26" s="2" t="s">
        <v>41</v>
      </c>
      <c r="G26" s="2">
        <v>17</v>
      </c>
      <c r="H26" s="2">
        <v>1312.74</v>
      </c>
      <c r="I26" s="2">
        <v>10</v>
      </c>
      <c r="J26" s="2" t="s">
        <v>19</v>
      </c>
      <c r="K26">
        <f t="shared" si="0"/>
        <v>22316.58</v>
      </c>
      <c r="L26">
        <f>K26-(K26*I26/100)</f>
        <v>20084.922000000002</v>
      </c>
    </row>
    <row r="27" spans="1:12" x14ac:dyDescent="0.25">
      <c r="A27" s="2">
        <v>10026</v>
      </c>
      <c r="B27" s="8">
        <v>45808</v>
      </c>
      <c r="C27" s="2" t="s">
        <v>31</v>
      </c>
      <c r="D27" s="2" t="s">
        <v>16</v>
      </c>
      <c r="E27" s="2" t="s">
        <v>34</v>
      </c>
      <c r="F27" s="2" t="s">
        <v>38</v>
      </c>
      <c r="G27" s="2">
        <v>20</v>
      </c>
      <c r="H27" s="2">
        <v>2066.4899999999998</v>
      </c>
      <c r="I27" s="2">
        <v>15</v>
      </c>
      <c r="J27" s="2" t="s">
        <v>19</v>
      </c>
      <c r="K27">
        <f t="shared" si="0"/>
        <v>41329.799999999996</v>
      </c>
      <c r="L27">
        <f>K27-(K27*I27/100)</f>
        <v>35130.329999999994</v>
      </c>
    </row>
    <row r="28" spans="1:12" x14ac:dyDescent="0.25">
      <c r="A28" s="2">
        <v>10027</v>
      </c>
      <c r="B28" s="8">
        <v>45864</v>
      </c>
      <c r="C28" s="2" t="s">
        <v>32</v>
      </c>
      <c r="D28" s="2" t="s">
        <v>37</v>
      </c>
      <c r="E28" s="2" t="s">
        <v>34</v>
      </c>
      <c r="F28" s="2" t="s">
        <v>50</v>
      </c>
      <c r="G28" s="2">
        <v>20</v>
      </c>
      <c r="H28" s="2">
        <v>418.14</v>
      </c>
      <c r="I28" s="2">
        <v>15</v>
      </c>
      <c r="J28" s="2" t="s">
        <v>30</v>
      </c>
      <c r="K28">
        <f t="shared" si="0"/>
        <v>8362.7999999999993</v>
      </c>
      <c r="L28">
        <f>K28-(K28*I28/100)</f>
        <v>7108.3799999999992</v>
      </c>
    </row>
    <row r="29" spans="1:12" x14ac:dyDescent="0.25">
      <c r="A29" s="2">
        <v>10028</v>
      </c>
      <c r="B29" s="8">
        <v>45678</v>
      </c>
      <c r="C29" s="2" t="s">
        <v>20</v>
      </c>
      <c r="D29" s="2" t="s">
        <v>47</v>
      </c>
      <c r="E29" s="2" t="s">
        <v>34</v>
      </c>
      <c r="F29" s="2" t="s">
        <v>50</v>
      </c>
      <c r="G29" s="2">
        <v>12</v>
      </c>
      <c r="H29" s="2">
        <v>4542.32</v>
      </c>
      <c r="I29" s="2">
        <v>0</v>
      </c>
      <c r="J29" s="2" t="s">
        <v>30</v>
      </c>
      <c r="K29">
        <f t="shared" si="0"/>
        <v>54507.839999999997</v>
      </c>
      <c r="L29">
        <f>K29-(K29*I29/100)</f>
        <v>54507.839999999997</v>
      </c>
    </row>
    <row r="30" spans="1:12" x14ac:dyDescent="0.25">
      <c r="A30" s="2">
        <v>10029</v>
      </c>
      <c r="B30" s="8">
        <v>45981</v>
      </c>
      <c r="C30" s="2" t="s">
        <v>10</v>
      </c>
      <c r="D30" s="2" t="s">
        <v>11</v>
      </c>
      <c r="E30" s="2" t="s">
        <v>40</v>
      </c>
      <c r="F30" s="2" t="s">
        <v>46</v>
      </c>
      <c r="G30" s="2">
        <v>3</v>
      </c>
      <c r="H30" s="2">
        <v>2580.2399999999998</v>
      </c>
      <c r="I30" s="2">
        <v>15</v>
      </c>
      <c r="J30" s="2" t="s">
        <v>19</v>
      </c>
      <c r="K30">
        <f t="shared" si="0"/>
        <v>7740.7199999999993</v>
      </c>
      <c r="L30">
        <f>K30-(K30*I30/100)</f>
        <v>6579.6119999999992</v>
      </c>
    </row>
    <row r="31" spans="1:12" x14ac:dyDescent="0.25">
      <c r="A31" s="2">
        <v>10030</v>
      </c>
      <c r="B31" s="8">
        <v>45704</v>
      </c>
      <c r="C31" s="2" t="s">
        <v>15</v>
      </c>
      <c r="D31" s="2" t="s">
        <v>51</v>
      </c>
      <c r="E31" s="2" t="s">
        <v>34</v>
      </c>
      <c r="F31" s="2" t="s">
        <v>44</v>
      </c>
      <c r="G31" s="2">
        <v>19</v>
      </c>
      <c r="H31" s="2">
        <v>3437.64</v>
      </c>
      <c r="I31" s="2">
        <v>20</v>
      </c>
      <c r="J31" s="2" t="s">
        <v>26</v>
      </c>
      <c r="K31">
        <f t="shared" si="0"/>
        <v>65315.159999999996</v>
      </c>
      <c r="L31">
        <f>K31-(K31*I31/100)</f>
        <v>52252.127999999997</v>
      </c>
    </row>
    <row r="32" spans="1:12" x14ac:dyDescent="0.25">
      <c r="A32" s="2">
        <v>10031</v>
      </c>
      <c r="B32" s="8">
        <v>45899</v>
      </c>
      <c r="C32" s="2" t="s">
        <v>31</v>
      </c>
      <c r="D32" s="2" t="s">
        <v>37</v>
      </c>
      <c r="E32" s="2" t="s">
        <v>34</v>
      </c>
      <c r="F32" s="2" t="s">
        <v>50</v>
      </c>
      <c r="G32" s="2">
        <v>4</v>
      </c>
      <c r="H32" s="2">
        <v>434.33</v>
      </c>
      <c r="I32" s="2">
        <v>5</v>
      </c>
      <c r="J32" s="2" t="s">
        <v>26</v>
      </c>
      <c r="K32">
        <f t="shared" si="0"/>
        <v>1737.32</v>
      </c>
      <c r="L32">
        <f>K32-(K32*I32/100)</f>
        <v>1650.454</v>
      </c>
    </row>
    <row r="33" spans="1:12" x14ac:dyDescent="0.25">
      <c r="A33" s="2">
        <v>10032</v>
      </c>
      <c r="B33" s="8">
        <v>45818</v>
      </c>
      <c r="C33" s="2" t="s">
        <v>24</v>
      </c>
      <c r="D33" s="2" t="s">
        <v>52</v>
      </c>
      <c r="E33" s="2" t="s">
        <v>40</v>
      </c>
      <c r="F33" s="2" t="s">
        <v>49</v>
      </c>
      <c r="G33" s="2">
        <v>4</v>
      </c>
      <c r="H33" s="2">
        <v>337.59</v>
      </c>
      <c r="I33" s="2">
        <v>15</v>
      </c>
      <c r="J33" s="2" t="s">
        <v>23</v>
      </c>
      <c r="K33">
        <f t="shared" si="0"/>
        <v>1350.36</v>
      </c>
      <c r="L33">
        <f>K33-(K33*I33/100)</f>
        <v>1147.806</v>
      </c>
    </row>
    <row r="34" spans="1:12" x14ac:dyDescent="0.25">
      <c r="A34" s="2">
        <v>10033</v>
      </c>
      <c r="B34" s="8">
        <v>45804</v>
      </c>
      <c r="C34" s="2" t="s">
        <v>27</v>
      </c>
      <c r="D34" s="2" t="s">
        <v>29</v>
      </c>
      <c r="E34" s="2" t="s">
        <v>17</v>
      </c>
      <c r="F34" s="2" t="s">
        <v>36</v>
      </c>
      <c r="G34" s="2">
        <v>5</v>
      </c>
      <c r="H34" s="2">
        <v>3902.93</v>
      </c>
      <c r="I34" s="2">
        <v>5</v>
      </c>
      <c r="J34" s="2" t="s">
        <v>23</v>
      </c>
      <c r="K34">
        <f t="shared" si="0"/>
        <v>19514.649999999998</v>
      </c>
      <c r="L34">
        <f>K34-(K34*I34/100)</f>
        <v>18538.9175</v>
      </c>
    </row>
    <row r="35" spans="1:12" x14ac:dyDescent="0.25">
      <c r="A35" s="2">
        <v>10034</v>
      </c>
      <c r="B35" s="8">
        <v>45826</v>
      </c>
      <c r="C35" s="2" t="s">
        <v>15</v>
      </c>
      <c r="D35" s="2" t="s">
        <v>37</v>
      </c>
      <c r="E35" s="2" t="s">
        <v>34</v>
      </c>
      <c r="F35" s="2" t="s">
        <v>44</v>
      </c>
      <c r="G35" s="2">
        <v>14</v>
      </c>
      <c r="H35" s="2">
        <v>1509.22</v>
      </c>
      <c r="I35" s="2">
        <v>5</v>
      </c>
      <c r="J35" s="2" t="s">
        <v>19</v>
      </c>
      <c r="K35">
        <f t="shared" si="0"/>
        <v>21129.08</v>
      </c>
      <c r="L35">
        <f>K35-(K35*I35/100)</f>
        <v>20072.626</v>
      </c>
    </row>
    <row r="36" spans="1:12" x14ac:dyDescent="0.25">
      <c r="A36" s="2">
        <v>10035</v>
      </c>
      <c r="B36" s="8">
        <v>45978</v>
      </c>
      <c r="C36" s="2" t="s">
        <v>39</v>
      </c>
      <c r="D36" s="2" t="s">
        <v>45</v>
      </c>
      <c r="E36" s="2" t="s">
        <v>34</v>
      </c>
      <c r="F36" s="2" t="s">
        <v>35</v>
      </c>
      <c r="G36" s="2">
        <v>17</v>
      </c>
      <c r="H36" s="2">
        <v>1591.6</v>
      </c>
      <c r="I36" s="2">
        <v>15</v>
      </c>
      <c r="J36" s="2" t="s">
        <v>19</v>
      </c>
      <c r="K36">
        <f t="shared" si="0"/>
        <v>27057.199999999997</v>
      </c>
      <c r="L36">
        <f>K36-(K36*I36/100)</f>
        <v>22998.62</v>
      </c>
    </row>
    <row r="37" spans="1:12" x14ac:dyDescent="0.25">
      <c r="A37" s="2">
        <v>10036</v>
      </c>
      <c r="B37" s="8">
        <v>45829</v>
      </c>
      <c r="C37" s="2" t="s">
        <v>32</v>
      </c>
      <c r="D37" s="2" t="s">
        <v>25</v>
      </c>
      <c r="E37" s="2" t="s">
        <v>12</v>
      </c>
      <c r="F37" s="2" t="s">
        <v>33</v>
      </c>
      <c r="G37" s="2">
        <v>20</v>
      </c>
      <c r="H37" s="2">
        <v>3357.81</v>
      </c>
      <c r="I37" s="2">
        <v>10</v>
      </c>
      <c r="J37" s="2" t="s">
        <v>26</v>
      </c>
      <c r="K37">
        <f t="shared" si="0"/>
        <v>67156.2</v>
      </c>
      <c r="L37">
        <f>K37-(K37*I37/100)</f>
        <v>60440.579999999994</v>
      </c>
    </row>
    <row r="38" spans="1:12" x14ac:dyDescent="0.25">
      <c r="A38" s="2">
        <v>10037</v>
      </c>
      <c r="B38" s="8">
        <v>45831</v>
      </c>
      <c r="C38" s="2" t="s">
        <v>10</v>
      </c>
      <c r="D38" s="2" t="s">
        <v>52</v>
      </c>
      <c r="E38" s="2" t="s">
        <v>17</v>
      </c>
      <c r="F38" s="2" t="s">
        <v>28</v>
      </c>
      <c r="G38" s="2">
        <v>6</v>
      </c>
      <c r="H38" s="2">
        <v>1861.79</v>
      </c>
      <c r="I38" s="2">
        <v>15</v>
      </c>
      <c r="J38" s="2" t="s">
        <v>26</v>
      </c>
      <c r="K38">
        <f t="shared" si="0"/>
        <v>11170.74</v>
      </c>
      <c r="L38">
        <f>K38-(K38*I38/100)</f>
        <v>9495.128999999999</v>
      </c>
    </row>
    <row r="39" spans="1:12" x14ac:dyDescent="0.25">
      <c r="A39" s="2">
        <v>10038</v>
      </c>
      <c r="B39" s="8">
        <v>45928</v>
      </c>
      <c r="C39" s="2" t="s">
        <v>32</v>
      </c>
      <c r="D39" s="2" t="s">
        <v>37</v>
      </c>
      <c r="E39" s="2" t="s">
        <v>40</v>
      </c>
      <c r="F39" s="2" t="s">
        <v>53</v>
      </c>
      <c r="G39" s="2">
        <v>5</v>
      </c>
      <c r="H39" s="2">
        <v>572.41</v>
      </c>
      <c r="I39" s="2">
        <v>20</v>
      </c>
      <c r="J39" s="2" t="s">
        <v>30</v>
      </c>
      <c r="K39">
        <f t="shared" si="0"/>
        <v>2862.0499999999997</v>
      </c>
      <c r="L39">
        <f>K39-(K39*I39/100)</f>
        <v>2289.64</v>
      </c>
    </row>
    <row r="40" spans="1:12" x14ac:dyDescent="0.25">
      <c r="A40" s="2">
        <v>10039</v>
      </c>
      <c r="B40" s="8">
        <v>45827</v>
      </c>
      <c r="C40" s="2" t="s">
        <v>15</v>
      </c>
      <c r="D40" s="2" t="s">
        <v>47</v>
      </c>
      <c r="E40" s="2" t="s">
        <v>40</v>
      </c>
      <c r="F40" s="2" t="s">
        <v>41</v>
      </c>
      <c r="G40" s="2">
        <v>20</v>
      </c>
      <c r="H40" s="2">
        <v>4485.22</v>
      </c>
      <c r="I40" s="2">
        <v>0</v>
      </c>
      <c r="J40" s="2" t="s">
        <v>30</v>
      </c>
      <c r="K40">
        <f t="shared" si="0"/>
        <v>89704.400000000009</v>
      </c>
      <c r="L40">
        <f>K40-(K40*I40/100)</f>
        <v>89704.400000000009</v>
      </c>
    </row>
    <row r="41" spans="1:12" x14ac:dyDescent="0.25">
      <c r="A41" s="2">
        <v>10040</v>
      </c>
      <c r="B41" s="8">
        <v>45829</v>
      </c>
      <c r="C41" s="2" t="s">
        <v>43</v>
      </c>
      <c r="D41" s="2" t="s">
        <v>11</v>
      </c>
      <c r="E41" s="2" t="s">
        <v>12</v>
      </c>
      <c r="F41" s="2" t="s">
        <v>33</v>
      </c>
      <c r="G41" s="2">
        <v>4</v>
      </c>
      <c r="H41" s="2">
        <v>1993.86</v>
      </c>
      <c r="I41" s="2">
        <v>10</v>
      </c>
      <c r="J41" s="2" t="s">
        <v>23</v>
      </c>
      <c r="K41">
        <f t="shared" si="0"/>
        <v>7975.44</v>
      </c>
      <c r="L41">
        <f>K41-(K41*I41/100)</f>
        <v>7177.8959999999997</v>
      </c>
    </row>
    <row r="42" spans="1:12" x14ac:dyDescent="0.25">
      <c r="A42" s="2">
        <v>10041</v>
      </c>
      <c r="B42" s="8">
        <v>45996</v>
      </c>
      <c r="C42" s="2" t="s">
        <v>48</v>
      </c>
      <c r="D42" s="2" t="s">
        <v>37</v>
      </c>
      <c r="E42" s="2" t="s">
        <v>40</v>
      </c>
      <c r="F42" s="2" t="s">
        <v>53</v>
      </c>
      <c r="G42" s="2">
        <v>9</v>
      </c>
      <c r="H42" s="2">
        <v>4037.39</v>
      </c>
      <c r="I42" s="2">
        <v>20</v>
      </c>
      <c r="J42" s="2" t="s">
        <v>26</v>
      </c>
      <c r="K42">
        <f t="shared" si="0"/>
        <v>36336.51</v>
      </c>
      <c r="L42">
        <f>K42-(K42*I42/100)</f>
        <v>29069.208000000002</v>
      </c>
    </row>
    <row r="43" spans="1:12" x14ac:dyDescent="0.25">
      <c r="A43" s="2">
        <v>10042</v>
      </c>
      <c r="B43" s="8">
        <v>45794</v>
      </c>
      <c r="C43" s="2" t="s">
        <v>31</v>
      </c>
      <c r="D43" s="2" t="s">
        <v>21</v>
      </c>
      <c r="E43" s="2" t="s">
        <v>34</v>
      </c>
      <c r="F43" s="2" t="s">
        <v>50</v>
      </c>
      <c r="G43" s="2">
        <v>14</v>
      </c>
      <c r="H43" s="2">
        <v>274.37</v>
      </c>
      <c r="I43" s="2">
        <v>0</v>
      </c>
      <c r="J43" s="2" t="s">
        <v>23</v>
      </c>
      <c r="K43">
        <f t="shared" si="0"/>
        <v>3841.1800000000003</v>
      </c>
      <c r="L43">
        <f>K43-(K43*I43/100)</f>
        <v>3841.1800000000003</v>
      </c>
    </row>
    <row r="44" spans="1:12" x14ac:dyDescent="0.25">
      <c r="A44" s="2">
        <v>10043</v>
      </c>
      <c r="B44" s="8">
        <v>46003</v>
      </c>
      <c r="C44" s="2" t="s">
        <v>10</v>
      </c>
      <c r="D44" s="2" t="s">
        <v>25</v>
      </c>
      <c r="E44" s="2" t="s">
        <v>34</v>
      </c>
      <c r="F44" s="2" t="s">
        <v>44</v>
      </c>
      <c r="G44" s="2">
        <v>9</v>
      </c>
      <c r="H44" s="2">
        <v>676.19</v>
      </c>
      <c r="I44" s="2">
        <v>20</v>
      </c>
      <c r="J44" s="2" t="s">
        <v>30</v>
      </c>
      <c r="K44">
        <f t="shared" si="0"/>
        <v>6085.7100000000009</v>
      </c>
      <c r="L44">
        <f>K44-(K44*I44/100)</f>
        <v>4868.5680000000011</v>
      </c>
    </row>
    <row r="45" spans="1:12" x14ac:dyDescent="0.25">
      <c r="A45" s="2">
        <v>10044</v>
      </c>
      <c r="B45" s="8">
        <v>45711</v>
      </c>
      <c r="C45" s="2" t="s">
        <v>27</v>
      </c>
      <c r="D45" s="2" t="s">
        <v>37</v>
      </c>
      <c r="E45" s="2" t="s">
        <v>17</v>
      </c>
      <c r="F45" s="2" t="s">
        <v>28</v>
      </c>
      <c r="G45" s="2">
        <v>4</v>
      </c>
      <c r="H45" s="2">
        <v>4588.93</v>
      </c>
      <c r="I45" s="2">
        <v>5</v>
      </c>
      <c r="J45" s="2" t="s">
        <v>26</v>
      </c>
      <c r="K45">
        <f t="shared" si="0"/>
        <v>18355.72</v>
      </c>
      <c r="L45">
        <f>K45-(K45*I45/100)</f>
        <v>17437.934000000001</v>
      </c>
    </row>
    <row r="46" spans="1:12" x14ac:dyDescent="0.25">
      <c r="A46" s="2">
        <v>10045</v>
      </c>
      <c r="B46" s="8">
        <v>45827</v>
      </c>
      <c r="C46" s="2" t="s">
        <v>42</v>
      </c>
      <c r="D46" s="2" t="s">
        <v>16</v>
      </c>
      <c r="E46" s="2" t="s">
        <v>12</v>
      </c>
      <c r="F46" s="2" t="s">
        <v>33</v>
      </c>
      <c r="G46" s="2">
        <v>2</v>
      </c>
      <c r="H46" s="2">
        <v>2343.98</v>
      </c>
      <c r="I46" s="2">
        <v>20</v>
      </c>
      <c r="J46" s="2" t="s">
        <v>23</v>
      </c>
      <c r="K46">
        <f t="shared" si="0"/>
        <v>4687.96</v>
      </c>
      <c r="L46">
        <f>K46-(K46*I46/100)</f>
        <v>3750.3679999999999</v>
      </c>
    </row>
    <row r="47" spans="1:12" x14ac:dyDescent="0.25">
      <c r="A47" s="2">
        <v>10046</v>
      </c>
      <c r="B47" s="8">
        <v>45889</v>
      </c>
      <c r="C47" s="2" t="s">
        <v>31</v>
      </c>
      <c r="D47" s="2" t="s">
        <v>29</v>
      </c>
      <c r="E47" s="2" t="s">
        <v>40</v>
      </c>
      <c r="F47" s="2" t="s">
        <v>41</v>
      </c>
      <c r="G47" s="2">
        <v>10</v>
      </c>
      <c r="H47" s="2">
        <v>1534.77</v>
      </c>
      <c r="I47" s="2">
        <v>15</v>
      </c>
      <c r="J47" s="2" t="s">
        <v>30</v>
      </c>
      <c r="K47">
        <f t="shared" si="0"/>
        <v>15347.7</v>
      </c>
      <c r="L47">
        <f>K47-(K47*I47/100)</f>
        <v>13045.545</v>
      </c>
    </row>
    <row r="48" spans="1:12" x14ac:dyDescent="0.25">
      <c r="A48" s="2">
        <v>10047</v>
      </c>
      <c r="B48" s="8">
        <v>45723</v>
      </c>
      <c r="C48" s="2" t="s">
        <v>27</v>
      </c>
      <c r="D48" s="2" t="s">
        <v>37</v>
      </c>
      <c r="E48" s="2" t="s">
        <v>34</v>
      </c>
      <c r="F48" s="2" t="s">
        <v>38</v>
      </c>
      <c r="G48" s="2">
        <v>8</v>
      </c>
      <c r="H48" s="2">
        <v>542.69000000000005</v>
      </c>
      <c r="I48" s="2">
        <v>15</v>
      </c>
      <c r="J48" s="2" t="s">
        <v>23</v>
      </c>
      <c r="K48">
        <f t="shared" si="0"/>
        <v>4341.5200000000004</v>
      </c>
      <c r="L48">
        <f>K48-(K48*I48/100)</f>
        <v>3690.2920000000004</v>
      </c>
    </row>
    <row r="49" spans="1:12" x14ac:dyDescent="0.25">
      <c r="A49" s="2">
        <v>10048</v>
      </c>
      <c r="B49" s="8">
        <v>45708</v>
      </c>
      <c r="C49" s="2" t="s">
        <v>48</v>
      </c>
      <c r="D49" s="2" t="s">
        <v>47</v>
      </c>
      <c r="E49" s="2" t="s">
        <v>12</v>
      </c>
      <c r="F49" s="2" t="s">
        <v>22</v>
      </c>
      <c r="G49" s="2">
        <v>10</v>
      </c>
      <c r="H49" s="2">
        <v>2706.3</v>
      </c>
      <c r="I49" s="2">
        <v>5</v>
      </c>
      <c r="J49" s="2" t="s">
        <v>26</v>
      </c>
      <c r="K49">
        <f t="shared" si="0"/>
        <v>27063</v>
      </c>
      <c r="L49">
        <f>K49-(K49*I49/100)</f>
        <v>25709.85</v>
      </c>
    </row>
    <row r="50" spans="1:12" x14ac:dyDescent="0.25">
      <c r="A50" s="2">
        <v>10049</v>
      </c>
      <c r="B50" s="8">
        <v>45757</v>
      </c>
      <c r="C50" s="2" t="s">
        <v>15</v>
      </c>
      <c r="D50" s="2" t="s">
        <v>52</v>
      </c>
      <c r="E50" s="2" t="s">
        <v>17</v>
      </c>
      <c r="F50" s="2" t="s">
        <v>28</v>
      </c>
      <c r="G50" s="2">
        <v>15</v>
      </c>
      <c r="H50" s="2">
        <v>2648.86</v>
      </c>
      <c r="I50" s="2">
        <v>5</v>
      </c>
      <c r="J50" s="2" t="s">
        <v>14</v>
      </c>
      <c r="K50">
        <f t="shared" si="0"/>
        <v>39732.9</v>
      </c>
      <c r="L50">
        <f>K50-(K50*I50/100)</f>
        <v>37746.255000000005</v>
      </c>
    </row>
    <row r="51" spans="1:12" x14ac:dyDescent="0.25">
      <c r="A51" s="2">
        <v>10050</v>
      </c>
      <c r="B51" s="8">
        <v>45775</v>
      </c>
      <c r="C51" s="2" t="s">
        <v>31</v>
      </c>
      <c r="D51" s="2" t="s">
        <v>25</v>
      </c>
      <c r="E51" s="2" t="s">
        <v>17</v>
      </c>
      <c r="F51" s="2" t="s">
        <v>28</v>
      </c>
      <c r="G51" s="2">
        <v>12</v>
      </c>
      <c r="H51" s="2">
        <v>1541.59</v>
      </c>
      <c r="I51" s="2">
        <v>0</v>
      </c>
      <c r="J51" s="2" t="s">
        <v>26</v>
      </c>
      <c r="K51">
        <f t="shared" si="0"/>
        <v>18499.079999999998</v>
      </c>
      <c r="L51">
        <f>K51-(K51*I51/100)</f>
        <v>18499.079999999998</v>
      </c>
    </row>
    <row r="52" spans="1:12" x14ac:dyDescent="0.25">
      <c r="A52" s="2">
        <v>10051</v>
      </c>
      <c r="B52" s="8">
        <v>45882</v>
      </c>
      <c r="C52" s="2" t="s">
        <v>39</v>
      </c>
      <c r="D52" s="2" t="s">
        <v>11</v>
      </c>
      <c r="E52" s="2" t="s">
        <v>40</v>
      </c>
      <c r="F52" s="2" t="s">
        <v>53</v>
      </c>
      <c r="G52" s="2">
        <v>11</v>
      </c>
      <c r="H52" s="2">
        <v>3051.48</v>
      </c>
      <c r="I52" s="2">
        <v>15</v>
      </c>
      <c r="J52" s="2" t="s">
        <v>30</v>
      </c>
      <c r="K52">
        <f t="shared" si="0"/>
        <v>33566.28</v>
      </c>
      <c r="L52">
        <f>K52-(K52*I52/100)</f>
        <v>28531.338</v>
      </c>
    </row>
    <row r="53" spans="1:12" x14ac:dyDescent="0.25">
      <c r="A53" s="2">
        <v>10052</v>
      </c>
      <c r="B53" s="8">
        <v>45861</v>
      </c>
      <c r="C53" s="2" t="s">
        <v>54</v>
      </c>
      <c r="D53" s="2" t="s">
        <v>11</v>
      </c>
      <c r="E53" s="2" t="s">
        <v>12</v>
      </c>
      <c r="F53" s="2" t="s">
        <v>22</v>
      </c>
      <c r="G53" s="2">
        <v>2</v>
      </c>
      <c r="H53" s="2">
        <v>3611.78</v>
      </c>
      <c r="I53" s="2">
        <v>15</v>
      </c>
      <c r="J53" s="2" t="s">
        <v>14</v>
      </c>
      <c r="K53">
        <f t="shared" si="0"/>
        <v>7223.56</v>
      </c>
      <c r="L53">
        <f>K53-(K53*I53/100)</f>
        <v>6140.0259999999998</v>
      </c>
    </row>
    <row r="54" spans="1:12" x14ac:dyDescent="0.25">
      <c r="A54" s="2">
        <v>10053</v>
      </c>
      <c r="B54" s="8">
        <v>45935</v>
      </c>
      <c r="C54" s="2" t="s">
        <v>54</v>
      </c>
      <c r="D54" s="2" t="s">
        <v>21</v>
      </c>
      <c r="E54" s="2" t="s">
        <v>17</v>
      </c>
      <c r="F54" s="2" t="s">
        <v>18</v>
      </c>
      <c r="G54" s="2">
        <v>15</v>
      </c>
      <c r="H54" s="2">
        <v>2589.92</v>
      </c>
      <c r="I54" s="2">
        <v>0</v>
      </c>
      <c r="J54" s="2" t="s">
        <v>23</v>
      </c>
      <c r="K54">
        <f t="shared" si="0"/>
        <v>38848.800000000003</v>
      </c>
      <c r="L54">
        <f>K54-(K54*I54/100)</f>
        <v>38848.800000000003</v>
      </c>
    </row>
    <row r="55" spans="1:12" x14ac:dyDescent="0.25">
      <c r="A55" s="2">
        <v>10054</v>
      </c>
      <c r="B55" s="8">
        <v>45868</v>
      </c>
      <c r="C55" s="2" t="s">
        <v>27</v>
      </c>
      <c r="D55" s="2" t="s">
        <v>51</v>
      </c>
      <c r="E55" s="2" t="s">
        <v>40</v>
      </c>
      <c r="F55" s="2" t="s">
        <v>41</v>
      </c>
      <c r="G55" s="2">
        <v>13</v>
      </c>
      <c r="H55" s="2">
        <v>2589.94</v>
      </c>
      <c r="I55" s="2">
        <v>0</v>
      </c>
      <c r="J55" s="2" t="s">
        <v>19</v>
      </c>
      <c r="K55">
        <f t="shared" si="0"/>
        <v>33669.22</v>
      </c>
      <c r="L55">
        <f>K55-(K55*I55/100)</f>
        <v>33669.22</v>
      </c>
    </row>
    <row r="56" spans="1:12" x14ac:dyDescent="0.25">
      <c r="A56" s="2">
        <v>10055</v>
      </c>
      <c r="B56" s="8">
        <v>45851</v>
      </c>
      <c r="C56" s="2" t="s">
        <v>43</v>
      </c>
      <c r="D56" s="2" t="s">
        <v>11</v>
      </c>
      <c r="E56" s="2" t="s">
        <v>34</v>
      </c>
      <c r="F56" s="2" t="s">
        <v>35</v>
      </c>
      <c r="G56" s="2">
        <v>12</v>
      </c>
      <c r="H56" s="2">
        <v>170.4</v>
      </c>
      <c r="I56" s="2">
        <v>10</v>
      </c>
      <c r="J56" s="2" t="s">
        <v>19</v>
      </c>
      <c r="K56">
        <f t="shared" si="0"/>
        <v>2044.8000000000002</v>
      </c>
      <c r="L56">
        <f>K56-(K56*I56/100)</f>
        <v>1840.3200000000002</v>
      </c>
    </row>
    <row r="57" spans="1:12" x14ac:dyDescent="0.25">
      <c r="A57" s="2">
        <v>10056</v>
      </c>
      <c r="B57" s="8">
        <v>45879</v>
      </c>
      <c r="C57" s="2" t="s">
        <v>42</v>
      </c>
      <c r="D57" s="2" t="s">
        <v>37</v>
      </c>
      <c r="E57" s="2" t="s">
        <v>40</v>
      </c>
      <c r="F57" s="2" t="s">
        <v>49</v>
      </c>
      <c r="G57" s="2">
        <v>14</v>
      </c>
      <c r="H57" s="2">
        <v>2075.6799999999998</v>
      </c>
      <c r="I57" s="2">
        <v>20</v>
      </c>
      <c r="J57" s="2" t="s">
        <v>30</v>
      </c>
      <c r="K57">
        <f t="shared" si="0"/>
        <v>29059.519999999997</v>
      </c>
      <c r="L57">
        <f>K57-(K57*I57/100)</f>
        <v>23247.615999999998</v>
      </c>
    </row>
    <row r="58" spans="1:12" x14ac:dyDescent="0.25">
      <c r="A58" s="2">
        <v>10057</v>
      </c>
      <c r="B58" s="8">
        <v>45891</v>
      </c>
      <c r="C58" s="2" t="s">
        <v>54</v>
      </c>
      <c r="D58" s="2" t="s">
        <v>45</v>
      </c>
      <c r="E58" s="2" t="s">
        <v>17</v>
      </c>
      <c r="F58" s="2" t="s">
        <v>55</v>
      </c>
      <c r="G58" s="2">
        <v>10</v>
      </c>
      <c r="H58" s="2">
        <v>4128.8100000000004</v>
      </c>
      <c r="I58" s="2">
        <v>20</v>
      </c>
      <c r="J58" s="2" t="s">
        <v>19</v>
      </c>
      <c r="K58">
        <f t="shared" si="0"/>
        <v>41288.100000000006</v>
      </c>
      <c r="L58">
        <f>K58-(K58*I58/100)</f>
        <v>33030.480000000003</v>
      </c>
    </row>
    <row r="59" spans="1:12" x14ac:dyDescent="0.25">
      <c r="A59" s="2">
        <v>10058</v>
      </c>
      <c r="B59" s="8">
        <v>45994</v>
      </c>
      <c r="C59" s="2" t="s">
        <v>24</v>
      </c>
      <c r="D59" s="2" t="s">
        <v>16</v>
      </c>
      <c r="E59" s="2" t="s">
        <v>12</v>
      </c>
      <c r="F59" s="2" t="s">
        <v>22</v>
      </c>
      <c r="G59" s="2">
        <v>19</v>
      </c>
      <c r="H59" s="2">
        <v>4232.67</v>
      </c>
      <c r="I59" s="2">
        <v>10</v>
      </c>
      <c r="J59" s="2" t="s">
        <v>26</v>
      </c>
      <c r="K59">
        <f t="shared" si="0"/>
        <v>80420.73</v>
      </c>
      <c r="L59">
        <f>K59-(K59*I59/100)</f>
        <v>72378.656999999992</v>
      </c>
    </row>
    <row r="60" spans="1:12" x14ac:dyDescent="0.25">
      <c r="A60" s="2">
        <v>10059</v>
      </c>
      <c r="B60" s="8">
        <v>45831</v>
      </c>
      <c r="C60" s="2" t="s">
        <v>54</v>
      </c>
      <c r="D60" s="2" t="s">
        <v>29</v>
      </c>
      <c r="E60" s="2" t="s">
        <v>34</v>
      </c>
      <c r="F60" s="2" t="s">
        <v>50</v>
      </c>
      <c r="G60" s="2">
        <v>12</v>
      </c>
      <c r="H60" s="2">
        <v>4662.53</v>
      </c>
      <c r="I60" s="2">
        <v>0</v>
      </c>
      <c r="J60" s="2" t="s">
        <v>14</v>
      </c>
      <c r="K60">
        <f t="shared" si="0"/>
        <v>55950.36</v>
      </c>
      <c r="L60">
        <f>K60-(K60*I60/100)</f>
        <v>55950.36</v>
      </c>
    </row>
    <row r="61" spans="1:12" x14ac:dyDescent="0.25">
      <c r="A61" s="2">
        <v>10060</v>
      </c>
      <c r="B61" s="8">
        <v>45685</v>
      </c>
      <c r="C61" s="2" t="s">
        <v>48</v>
      </c>
      <c r="D61" s="2" t="s">
        <v>51</v>
      </c>
      <c r="E61" s="2" t="s">
        <v>17</v>
      </c>
      <c r="F61" s="2" t="s">
        <v>55</v>
      </c>
      <c r="G61" s="2">
        <v>20</v>
      </c>
      <c r="H61" s="2">
        <v>869.66</v>
      </c>
      <c r="I61" s="2">
        <v>0</v>
      </c>
      <c r="J61" s="2" t="s">
        <v>19</v>
      </c>
      <c r="K61">
        <f t="shared" si="0"/>
        <v>17393.2</v>
      </c>
      <c r="L61">
        <f>K61-(K61*I61/100)</f>
        <v>17393.2</v>
      </c>
    </row>
    <row r="62" spans="1:12" x14ac:dyDescent="0.25">
      <c r="A62" s="2">
        <v>10061</v>
      </c>
      <c r="B62" s="8">
        <v>45934</v>
      </c>
      <c r="C62" s="2" t="s">
        <v>48</v>
      </c>
      <c r="D62" s="2" t="s">
        <v>37</v>
      </c>
      <c r="E62" s="2" t="s">
        <v>17</v>
      </c>
      <c r="F62" s="2" t="s">
        <v>18</v>
      </c>
      <c r="G62" s="2">
        <v>17</v>
      </c>
      <c r="H62" s="2">
        <v>3611.8</v>
      </c>
      <c r="I62" s="2">
        <v>15</v>
      </c>
      <c r="J62" s="2" t="s">
        <v>26</v>
      </c>
      <c r="K62">
        <f t="shared" si="0"/>
        <v>61400.600000000006</v>
      </c>
      <c r="L62">
        <f>K62-(K62*I62/100)</f>
        <v>52190.51</v>
      </c>
    </row>
    <row r="63" spans="1:12" x14ac:dyDescent="0.25">
      <c r="A63" s="2">
        <v>10062</v>
      </c>
      <c r="B63" s="8">
        <v>45756</v>
      </c>
      <c r="C63" s="2" t="s">
        <v>31</v>
      </c>
      <c r="D63" s="2" t="s">
        <v>25</v>
      </c>
      <c r="E63" s="2" t="s">
        <v>17</v>
      </c>
      <c r="F63" s="2" t="s">
        <v>18</v>
      </c>
      <c r="G63" s="2">
        <v>18</v>
      </c>
      <c r="H63" s="2">
        <v>2392.34</v>
      </c>
      <c r="I63" s="2">
        <v>5</v>
      </c>
      <c r="J63" s="2" t="s">
        <v>23</v>
      </c>
      <c r="K63">
        <f t="shared" si="0"/>
        <v>43062.12</v>
      </c>
      <c r="L63">
        <f>K63-(K63*I63/100)</f>
        <v>40909.014000000003</v>
      </c>
    </row>
    <row r="64" spans="1:12" x14ac:dyDescent="0.25">
      <c r="A64" s="2">
        <v>10063</v>
      </c>
      <c r="B64" s="8">
        <v>45920</v>
      </c>
      <c r="C64" s="2" t="s">
        <v>43</v>
      </c>
      <c r="D64" s="2" t="s">
        <v>45</v>
      </c>
      <c r="E64" s="2" t="s">
        <v>12</v>
      </c>
      <c r="F64" s="2" t="s">
        <v>22</v>
      </c>
      <c r="G64" s="2">
        <v>16</v>
      </c>
      <c r="H64" s="2">
        <v>2111.33</v>
      </c>
      <c r="I64" s="2">
        <v>10</v>
      </c>
      <c r="J64" s="2" t="s">
        <v>30</v>
      </c>
      <c r="K64">
        <f t="shared" si="0"/>
        <v>33781.279999999999</v>
      </c>
      <c r="L64">
        <f>K64-(K64*I64/100)</f>
        <v>30403.151999999998</v>
      </c>
    </row>
    <row r="65" spans="1:12" x14ac:dyDescent="0.25">
      <c r="A65" s="2">
        <v>10064</v>
      </c>
      <c r="B65" s="8">
        <v>45688</v>
      </c>
      <c r="C65" s="2" t="s">
        <v>27</v>
      </c>
      <c r="D65" s="2" t="s">
        <v>29</v>
      </c>
      <c r="E65" s="2" t="s">
        <v>17</v>
      </c>
      <c r="F65" s="2" t="s">
        <v>55</v>
      </c>
      <c r="G65" s="2">
        <v>7</v>
      </c>
      <c r="H65" s="2">
        <v>938.38</v>
      </c>
      <c r="I65" s="2">
        <v>20</v>
      </c>
      <c r="J65" s="2" t="s">
        <v>23</v>
      </c>
      <c r="K65">
        <f t="shared" si="0"/>
        <v>6568.66</v>
      </c>
      <c r="L65">
        <f>K65-(K65*I65/100)</f>
        <v>5254.9279999999999</v>
      </c>
    </row>
    <row r="66" spans="1:12" x14ac:dyDescent="0.25">
      <c r="A66" s="2">
        <v>10065</v>
      </c>
      <c r="B66" s="8">
        <v>45924</v>
      </c>
      <c r="C66" s="2" t="s">
        <v>32</v>
      </c>
      <c r="D66" s="2" t="s">
        <v>37</v>
      </c>
      <c r="E66" s="2" t="s">
        <v>12</v>
      </c>
      <c r="F66" s="2" t="s">
        <v>22</v>
      </c>
      <c r="G66" s="2">
        <v>17</v>
      </c>
      <c r="H66" s="2">
        <v>4449.18</v>
      </c>
      <c r="I66" s="2">
        <v>0</v>
      </c>
      <c r="J66" s="2" t="s">
        <v>30</v>
      </c>
      <c r="K66">
        <f t="shared" si="0"/>
        <v>75636.06</v>
      </c>
      <c r="L66">
        <f>K66-(K66*I66/100)</f>
        <v>75636.06</v>
      </c>
    </row>
    <row r="67" spans="1:12" x14ac:dyDescent="0.25">
      <c r="A67" s="2">
        <v>10066</v>
      </c>
      <c r="B67" s="8">
        <v>45743</v>
      </c>
      <c r="C67" s="2" t="s">
        <v>42</v>
      </c>
      <c r="D67" s="2" t="s">
        <v>16</v>
      </c>
      <c r="E67" s="2" t="s">
        <v>12</v>
      </c>
      <c r="F67" s="2" t="s">
        <v>22</v>
      </c>
      <c r="G67" s="2">
        <v>5</v>
      </c>
      <c r="H67" s="2">
        <v>1209.05</v>
      </c>
      <c r="I67" s="2">
        <v>5</v>
      </c>
      <c r="J67" s="2" t="s">
        <v>30</v>
      </c>
      <c r="K67">
        <f t="shared" ref="K67:K130" si="1">G67*H67</f>
        <v>6045.25</v>
      </c>
      <c r="L67">
        <f>K67-(K67*I67/100)</f>
        <v>5742.9875000000002</v>
      </c>
    </row>
    <row r="68" spans="1:12" x14ac:dyDescent="0.25">
      <c r="A68" s="2">
        <v>10067</v>
      </c>
      <c r="B68" s="8">
        <v>45933</v>
      </c>
      <c r="C68" s="2" t="s">
        <v>10</v>
      </c>
      <c r="D68" s="2" t="s">
        <v>37</v>
      </c>
      <c r="E68" s="2" t="s">
        <v>12</v>
      </c>
      <c r="F68" s="2" t="s">
        <v>22</v>
      </c>
      <c r="G68" s="2">
        <v>19</v>
      </c>
      <c r="H68" s="2">
        <v>900.11</v>
      </c>
      <c r="I68" s="2">
        <v>10</v>
      </c>
      <c r="J68" s="2" t="s">
        <v>23</v>
      </c>
      <c r="K68">
        <f t="shared" si="1"/>
        <v>17102.09</v>
      </c>
      <c r="L68">
        <f>K68-(K68*I68/100)</f>
        <v>15391.881000000001</v>
      </c>
    </row>
    <row r="69" spans="1:12" x14ac:dyDescent="0.25">
      <c r="A69" s="2">
        <v>10068</v>
      </c>
      <c r="B69" s="8">
        <v>45695</v>
      </c>
      <c r="C69" s="2" t="s">
        <v>20</v>
      </c>
      <c r="D69" s="2" t="s">
        <v>52</v>
      </c>
      <c r="E69" s="2" t="s">
        <v>34</v>
      </c>
      <c r="F69" s="2" t="s">
        <v>50</v>
      </c>
      <c r="G69" s="2">
        <v>13</v>
      </c>
      <c r="H69" s="2">
        <v>4048.21</v>
      </c>
      <c r="I69" s="2">
        <v>15</v>
      </c>
      <c r="J69" s="2" t="s">
        <v>14</v>
      </c>
      <c r="K69">
        <f t="shared" si="1"/>
        <v>52626.73</v>
      </c>
      <c r="L69">
        <f>K69-(K69*I69/100)</f>
        <v>44732.720500000003</v>
      </c>
    </row>
    <row r="70" spans="1:12" x14ac:dyDescent="0.25">
      <c r="A70" s="2">
        <v>10069</v>
      </c>
      <c r="B70" s="8">
        <v>46018</v>
      </c>
      <c r="C70" s="2" t="s">
        <v>10</v>
      </c>
      <c r="D70" s="2" t="s">
        <v>47</v>
      </c>
      <c r="E70" s="2" t="s">
        <v>34</v>
      </c>
      <c r="F70" s="2" t="s">
        <v>35</v>
      </c>
      <c r="G70" s="2">
        <v>1</v>
      </c>
      <c r="H70" s="2">
        <v>4884.6000000000004</v>
      </c>
      <c r="I70" s="2">
        <v>0</v>
      </c>
      <c r="J70" s="2" t="s">
        <v>23</v>
      </c>
      <c r="K70">
        <f t="shared" si="1"/>
        <v>4884.6000000000004</v>
      </c>
      <c r="L70">
        <f>K70-(K70*I70/100)</f>
        <v>4884.6000000000004</v>
      </c>
    </row>
    <row r="71" spans="1:12" x14ac:dyDescent="0.25">
      <c r="A71" s="2">
        <v>10070</v>
      </c>
      <c r="B71" s="8">
        <v>46009</v>
      </c>
      <c r="C71" s="2" t="s">
        <v>20</v>
      </c>
      <c r="D71" s="2" t="s">
        <v>29</v>
      </c>
      <c r="E71" s="2" t="s">
        <v>17</v>
      </c>
      <c r="F71" s="2" t="s">
        <v>18</v>
      </c>
      <c r="G71" s="2">
        <v>14</v>
      </c>
      <c r="H71" s="2">
        <v>1720.3</v>
      </c>
      <c r="I71" s="2">
        <v>0</v>
      </c>
      <c r="J71" s="2" t="s">
        <v>30</v>
      </c>
      <c r="K71">
        <f t="shared" si="1"/>
        <v>24084.2</v>
      </c>
      <c r="L71">
        <f>K71-(K71*I71/100)</f>
        <v>24084.2</v>
      </c>
    </row>
    <row r="72" spans="1:12" x14ac:dyDescent="0.25">
      <c r="A72" s="2">
        <v>10071</v>
      </c>
      <c r="B72" s="8">
        <v>46016</v>
      </c>
      <c r="C72" s="2" t="s">
        <v>43</v>
      </c>
      <c r="D72" s="2" t="s">
        <v>21</v>
      </c>
      <c r="E72" s="2" t="s">
        <v>12</v>
      </c>
      <c r="F72" s="2" t="s">
        <v>56</v>
      </c>
      <c r="G72" s="2">
        <v>14</v>
      </c>
      <c r="H72" s="2">
        <v>2083.37</v>
      </c>
      <c r="I72" s="2">
        <v>15</v>
      </c>
      <c r="J72" s="2" t="s">
        <v>26</v>
      </c>
      <c r="K72">
        <f t="shared" si="1"/>
        <v>29167.18</v>
      </c>
      <c r="L72">
        <f>K72-(K72*I72/100)</f>
        <v>24792.102999999999</v>
      </c>
    </row>
    <row r="73" spans="1:12" x14ac:dyDescent="0.25">
      <c r="A73" s="2">
        <v>10072</v>
      </c>
      <c r="B73" s="8">
        <v>45994</v>
      </c>
      <c r="C73" s="2" t="s">
        <v>54</v>
      </c>
      <c r="D73" s="2" t="s">
        <v>51</v>
      </c>
      <c r="E73" s="2" t="s">
        <v>34</v>
      </c>
      <c r="F73" s="2" t="s">
        <v>50</v>
      </c>
      <c r="G73" s="2">
        <v>19</v>
      </c>
      <c r="H73" s="2">
        <v>3358.24</v>
      </c>
      <c r="I73" s="2">
        <v>20</v>
      </c>
      <c r="J73" s="2" t="s">
        <v>19</v>
      </c>
      <c r="K73">
        <f t="shared" si="1"/>
        <v>63806.559999999998</v>
      </c>
      <c r="L73">
        <f>K73-(K73*I73/100)</f>
        <v>51045.248</v>
      </c>
    </row>
    <row r="74" spans="1:12" x14ac:dyDescent="0.25">
      <c r="A74" s="2">
        <v>10073</v>
      </c>
      <c r="B74" s="8">
        <v>45713</v>
      </c>
      <c r="C74" s="2" t="s">
        <v>24</v>
      </c>
      <c r="D74" s="2" t="s">
        <v>45</v>
      </c>
      <c r="E74" s="2" t="s">
        <v>12</v>
      </c>
      <c r="F74" s="2" t="s">
        <v>22</v>
      </c>
      <c r="G74" s="2">
        <v>12</v>
      </c>
      <c r="H74" s="2">
        <v>3007.31</v>
      </c>
      <c r="I74" s="2">
        <v>5</v>
      </c>
      <c r="J74" s="2" t="s">
        <v>26</v>
      </c>
      <c r="K74">
        <f t="shared" si="1"/>
        <v>36087.72</v>
      </c>
      <c r="L74">
        <f>K74-(K74*I74/100)</f>
        <v>34283.334000000003</v>
      </c>
    </row>
    <row r="75" spans="1:12" x14ac:dyDescent="0.25">
      <c r="A75" s="2">
        <v>10074</v>
      </c>
      <c r="B75" s="8">
        <v>45956</v>
      </c>
      <c r="C75" s="2" t="s">
        <v>48</v>
      </c>
      <c r="D75" s="2" t="s">
        <v>51</v>
      </c>
      <c r="E75" s="2" t="s">
        <v>34</v>
      </c>
      <c r="F75" s="2" t="s">
        <v>38</v>
      </c>
      <c r="G75" s="2">
        <v>14</v>
      </c>
      <c r="H75" s="2">
        <v>3121.47</v>
      </c>
      <c r="I75" s="2">
        <v>15</v>
      </c>
      <c r="J75" s="2" t="s">
        <v>14</v>
      </c>
      <c r="K75">
        <f t="shared" si="1"/>
        <v>43700.579999999994</v>
      </c>
      <c r="L75">
        <f>K75-(K75*I75/100)</f>
        <v>37145.492999999995</v>
      </c>
    </row>
    <row r="76" spans="1:12" x14ac:dyDescent="0.25">
      <c r="A76" s="2">
        <v>10075</v>
      </c>
      <c r="B76" s="8">
        <v>45762</v>
      </c>
      <c r="C76" s="2" t="s">
        <v>32</v>
      </c>
      <c r="D76" s="2" t="s">
        <v>47</v>
      </c>
      <c r="E76" s="2" t="s">
        <v>40</v>
      </c>
      <c r="F76" s="2" t="s">
        <v>46</v>
      </c>
      <c r="G76" s="2">
        <v>15</v>
      </c>
      <c r="H76" s="2">
        <v>1613.45</v>
      </c>
      <c r="I76" s="2">
        <v>0</v>
      </c>
      <c r="J76" s="2" t="s">
        <v>26</v>
      </c>
      <c r="K76">
        <f t="shared" si="1"/>
        <v>24201.75</v>
      </c>
      <c r="L76">
        <f>K76-(K76*I76/100)</f>
        <v>24201.75</v>
      </c>
    </row>
    <row r="77" spans="1:12" x14ac:dyDescent="0.25">
      <c r="A77" s="2">
        <v>10076</v>
      </c>
      <c r="B77" s="8">
        <v>45730</v>
      </c>
      <c r="C77" s="2" t="s">
        <v>24</v>
      </c>
      <c r="D77" s="2" t="s">
        <v>37</v>
      </c>
      <c r="E77" s="2" t="s">
        <v>34</v>
      </c>
      <c r="F77" s="2" t="s">
        <v>50</v>
      </c>
      <c r="G77" s="2">
        <v>14</v>
      </c>
      <c r="H77" s="2">
        <v>2260.96</v>
      </c>
      <c r="I77" s="2">
        <v>15</v>
      </c>
      <c r="J77" s="2" t="s">
        <v>14</v>
      </c>
      <c r="K77">
        <f t="shared" si="1"/>
        <v>31653.440000000002</v>
      </c>
      <c r="L77">
        <f>K77-(K77*I77/100)</f>
        <v>26905.424000000003</v>
      </c>
    </row>
    <row r="78" spans="1:12" x14ac:dyDescent="0.25">
      <c r="A78" s="2">
        <v>10077</v>
      </c>
      <c r="B78" s="8">
        <v>45900</v>
      </c>
      <c r="C78" s="2" t="s">
        <v>24</v>
      </c>
      <c r="D78" s="2" t="s">
        <v>29</v>
      </c>
      <c r="E78" s="2" t="s">
        <v>12</v>
      </c>
      <c r="F78" s="2" t="s">
        <v>33</v>
      </c>
      <c r="G78" s="2">
        <v>12</v>
      </c>
      <c r="H78" s="2">
        <v>470.29</v>
      </c>
      <c r="I78" s="2">
        <v>5</v>
      </c>
      <c r="J78" s="2" t="s">
        <v>23</v>
      </c>
      <c r="K78">
        <f t="shared" si="1"/>
        <v>5643.4800000000005</v>
      </c>
      <c r="L78">
        <f>K78-(K78*I78/100)</f>
        <v>5361.3060000000005</v>
      </c>
    </row>
    <row r="79" spans="1:12" x14ac:dyDescent="0.25">
      <c r="A79" s="2">
        <v>10078</v>
      </c>
      <c r="B79" s="8">
        <v>45714</v>
      </c>
      <c r="C79" s="2" t="s">
        <v>15</v>
      </c>
      <c r="D79" s="2" t="s">
        <v>16</v>
      </c>
      <c r="E79" s="2" t="s">
        <v>12</v>
      </c>
      <c r="F79" s="2" t="s">
        <v>33</v>
      </c>
      <c r="G79" s="2">
        <v>11</v>
      </c>
      <c r="H79" s="2">
        <v>3478.14</v>
      </c>
      <c r="I79" s="2">
        <v>5</v>
      </c>
      <c r="J79" s="2" t="s">
        <v>14</v>
      </c>
      <c r="K79">
        <f t="shared" si="1"/>
        <v>38259.54</v>
      </c>
      <c r="L79">
        <f>K79-(K79*I79/100)</f>
        <v>36346.563000000002</v>
      </c>
    </row>
    <row r="80" spans="1:12" x14ac:dyDescent="0.25">
      <c r="A80" s="2">
        <v>10079</v>
      </c>
      <c r="B80" s="8">
        <v>46003</v>
      </c>
      <c r="C80" s="2" t="s">
        <v>20</v>
      </c>
      <c r="D80" s="2" t="s">
        <v>52</v>
      </c>
      <c r="E80" s="2" t="s">
        <v>34</v>
      </c>
      <c r="F80" s="2" t="s">
        <v>50</v>
      </c>
      <c r="G80" s="2">
        <v>19</v>
      </c>
      <c r="H80" s="2">
        <v>240.9</v>
      </c>
      <c r="I80" s="2">
        <v>5</v>
      </c>
      <c r="J80" s="2" t="s">
        <v>14</v>
      </c>
      <c r="K80">
        <f t="shared" si="1"/>
        <v>4577.1000000000004</v>
      </c>
      <c r="L80">
        <f>K80-(K80*I80/100)</f>
        <v>4348.2450000000008</v>
      </c>
    </row>
    <row r="81" spans="1:12" x14ac:dyDescent="0.25">
      <c r="A81" s="2">
        <v>10080</v>
      </c>
      <c r="B81" s="8">
        <v>45743</v>
      </c>
      <c r="C81" s="2" t="s">
        <v>43</v>
      </c>
      <c r="D81" s="2" t="s">
        <v>52</v>
      </c>
      <c r="E81" s="2" t="s">
        <v>40</v>
      </c>
      <c r="F81" s="2" t="s">
        <v>41</v>
      </c>
      <c r="G81" s="2">
        <v>3</v>
      </c>
      <c r="H81" s="2">
        <v>1240.44</v>
      </c>
      <c r="I81" s="2">
        <v>0</v>
      </c>
      <c r="J81" s="2" t="s">
        <v>30</v>
      </c>
      <c r="K81">
        <f t="shared" si="1"/>
        <v>3721.32</v>
      </c>
      <c r="L81">
        <f>K81-(K81*I81/100)</f>
        <v>3721.32</v>
      </c>
    </row>
    <row r="82" spans="1:12" x14ac:dyDescent="0.25">
      <c r="A82" s="2">
        <v>10081</v>
      </c>
      <c r="B82" s="8">
        <v>46015</v>
      </c>
      <c r="C82" s="2" t="s">
        <v>31</v>
      </c>
      <c r="D82" s="2" t="s">
        <v>37</v>
      </c>
      <c r="E82" s="2" t="s">
        <v>17</v>
      </c>
      <c r="F82" s="2" t="s">
        <v>36</v>
      </c>
      <c r="G82" s="2">
        <v>16</v>
      </c>
      <c r="H82" s="2">
        <v>3466.49</v>
      </c>
      <c r="I82" s="2">
        <v>15</v>
      </c>
      <c r="J82" s="2" t="s">
        <v>23</v>
      </c>
      <c r="K82">
        <f t="shared" si="1"/>
        <v>55463.839999999997</v>
      </c>
      <c r="L82">
        <f>K82-(K82*I82/100)</f>
        <v>47144.263999999996</v>
      </c>
    </row>
    <row r="83" spans="1:12" x14ac:dyDescent="0.25">
      <c r="A83" s="2">
        <v>10082</v>
      </c>
      <c r="B83" s="8">
        <v>45998</v>
      </c>
      <c r="C83" s="2" t="s">
        <v>48</v>
      </c>
      <c r="D83" s="2" t="s">
        <v>37</v>
      </c>
      <c r="E83" s="2" t="s">
        <v>17</v>
      </c>
      <c r="F83" s="2" t="s">
        <v>18</v>
      </c>
      <c r="G83" s="2">
        <v>6</v>
      </c>
      <c r="H83" s="2">
        <v>2915.15</v>
      </c>
      <c r="I83" s="2">
        <v>0</v>
      </c>
      <c r="J83" s="2" t="s">
        <v>19</v>
      </c>
      <c r="K83">
        <f t="shared" si="1"/>
        <v>17490.900000000001</v>
      </c>
      <c r="L83">
        <f>K83-(K83*I83/100)</f>
        <v>17490.900000000001</v>
      </c>
    </row>
    <row r="84" spans="1:12" x14ac:dyDescent="0.25">
      <c r="A84" s="2">
        <v>10083</v>
      </c>
      <c r="B84" s="8">
        <v>45739</v>
      </c>
      <c r="C84" s="2" t="s">
        <v>15</v>
      </c>
      <c r="D84" s="2" t="s">
        <v>29</v>
      </c>
      <c r="E84" s="2" t="s">
        <v>17</v>
      </c>
      <c r="F84" s="2" t="s">
        <v>55</v>
      </c>
      <c r="G84" s="2">
        <v>3</v>
      </c>
      <c r="H84" s="2">
        <v>1602.24</v>
      </c>
      <c r="I84" s="2">
        <v>5</v>
      </c>
      <c r="J84" s="2" t="s">
        <v>23</v>
      </c>
      <c r="K84">
        <f t="shared" si="1"/>
        <v>4806.72</v>
      </c>
      <c r="L84">
        <f>K84-(K84*I84/100)</f>
        <v>4566.384</v>
      </c>
    </row>
    <row r="85" spans="1:12" x14ac:dyDescent="0.25">
      <c r="A85" s="2">
        <v>10084</v>
      </c>
      <c r="B85" s="8">
        <v>45712</v>
      </c>
      <c r="C85" s="2" t="s">
        <v>24</v>
      </c>
      <c r="D85" s="2" t="s">
        <v>52</v>
      </c>
      <c r="E85" s="2" t="s">
        <v>40</v>
      </c>
      <c r="F85" s="2" t="s">
        <v>53</v>
      </c>
      <c r="G85" s="2">
        <v>4</v>
      </c>
      <c r="H85" s="2">
        <v>3464.11</v>
      </c>
      <c r="I85" s="2">
        <v>15</v>
      </c>
      <c r="J85" s="2" t="s">
        <v>14</v>
      </c>
      <c r="K85">
        <f t="shared" si="1"/>
        <v>13856.44</v>
      </c>
      <c r="L85">
        <f>K85-(K85*I85/100)</f>
        <v>11777.974</v>
      </c>
    </row>
    <row r="86" spans="1:12" x14ac:dyDescent="0.25">
      <c r="A86" s="2">
        <v>10085</v>
      </c>
      <c r="B86" s="8">
        <v>45710</v>
      </c>
      <c r="C86" s="2" t="s">
        <v>54</v>
      </c>
      <c r="D86" s="2" t="s">
        <v>37</v>
      </c>
      <c r="E86" s="2" t="s">
        <v>40</v>
      </c>
      <c r="F86" s="2" t="s">
        <v>41</v>
      </c>
      <c r="G86" s="2">
        <v>5</v>
      </c>
      <c r="H86" s="2">
        <v>4550.18</v>
      </c>
      <c r="I86" s="2">
        <v>0</v>
      </c>
      <c r="J86" s="2" t="s">
        <v>23</v>
      </c>
      <c r="K86">
        <f t="shared" si="1"/>
        <v>22750.9</v>
      </c>
      <c r="L86">
        <f>K86-(K86*I86/100)</f>
        <v>22750.9</v>
      </c>
    </row>
    <row r="87" spans="1:12" x14ac:dyDescent="0.25">
      <c r="A87" s="2">
        <v>10086</v>
      </c>
      <c r="B87" s="8">
        <v>45847</v>
      </c>
      <c r="C87" s="2" t="s">
        <v>31</v>
      </c>
      <c r="D87" s="2" t="s">
        <v>37</v>
      </c>
      <c r="E87" s="2" t="s">
        <v>34</v>
      </c>
      <c r="F87" s="2" t="s">
        <v>44</v>
      </c>
      <c r="G87" s="2">
        <v>19</v>
      </c>
      <c r="H87" s="2">
        <v>766.59</v>
      </c>
      <c r="I87" s="2">
        <v>15</v>
      </c>
      <c r="J87" s="2" t="s">
        <v>19</v>
      </c>
      <c r="K87">
        <f t="shared" si="1"/>
        <v>14565.210000000001</v>
      </c>
      <c r="L87">
        <f>K87-(K87*I87/100)</f>
        <v>12380.428500000002</v>
      </c>
    </row>
    <row r="88" spans="1:12" x14ac:dyDescent="0.25">
      <c r="A88" s="2">
        <v>10087</v>
      </c>
      <c r="B88" s="8">
        <v>45937</v>
      </c>
      <c r="C88" s="2" t="s">
        <v>15</v>
      </c>
      <c r="D88" s="2" t="s">
        <v>25</v>
      </c>
      <c r="E88" s="2" t="s">
        <v>40</v>
      </c>
      <c r="F88" s="2" t="s">
        <v>53</v>
      </c>
      <c r="G88" s="2">
        <v>6</v>
      </c>
      <c r="H88" s="2">
        <v>4110.67</v>
      </c>
      <c r="I88" s="2">
        <v>10</v>
      </c>
      <c r="J88" s="2" t="s">
        <v>23</v>
      </c>
      <c r="K88">
        <f t="shared" si="1"/>
        <v>24664.02</v>
      </c>
      <c r="L88">
        <f>K88-(K88*I88/100)</f>
        <v>22197.618000000002</v>
      </c>
    </row>
    <row r="89" spans="1:12" x14ac:dyDescent="0.25">
      <c r="A89" s="2">
        <v>10088</v>
      </c>
      <c r="B89" s="8">
        <v>45690</v>
      </c>
      <c r="C89" s="2" t="s">
        <v>20</v>
      </c>
      <c r="D89" s="2" t="s">
        <v>29</v>
      </c>
      <c r="E89" s="2" t="s">
        <v>17</v>
      </c>
      <c r="F89" s="2" t="s">
        <v>36</v>
      </c>
      <c r="G89" s="2">
        <v>3</v>
      </c>
      <c r="H89" s="2">
        <v>105.46</v>
      </c>
      <c r="I89" s="2">
        <v>5</v>
      </c>
      <c r="J89" s="2" t="s">
        <v>19</v>
      </c>
      <c r="K89">
        <f t="shared" si="1"/>
        <v>316.38</v>
      </c>
      <c r="L89">
        <f>K89-(K89*I89/100)</f>
        <v>300.56099999999998</v>
      </c>
    </row>
    <row r="90" spans="1:12" x14ac:dyDescent="0.25">
      <c r="A90" s="2">
        <v>10089</v>
      </c>
      <c r="B90" s="8">
        <v>45754</v>
      </c>
      <c r="C90" s="2" t="s">
        <v>43</v>
      </c>
      <c r="D90" s="2" t="s">
        <v>21</v>
      </c>
      <c r="E90" s="2" t="s">
        <v>17</v>
      </c>
      <c r="F90" s="2" t="s">
        <v>28</v>
      </c>
      <c r="G90" s="2">
        <v>5</v>
      </c>
      <c r="H90" s="2">
        <v>2378.4499999999998</v>
      </c>
      <c r="I90" s="2">
        <v>20</v>
      </c>
      <c r="J90" s="2" t="s">
        <v>14</v>
      </c>
      <c r="K90">
        <f t="shared" si="1"/>
        <v>11892.25</v>
      </c>
      <c r="L90">
        <f>K90-(K90*I90/100)</f>
        <v>9513.7999999999993</v>
      </c>
    </row>
    <row r="91" spans="1:12" x14ac:dyDescent="0.25">
      <c r="A91" s="2">
        <v>10090</v>
      </c>
      <c r="B91" s="8">
        <v>45878</v>
      </c>
      <c r="C91" s="2" t="s">
        <v>42</v>
      </c>
      <c r="D91" s="2" t="s">
        <v>25</v>
      </c>
      <c r="E91" s="2" t="s">
        <v>17</v>
      </c>
      <c r="F91" s="2" t="s">
        <v>18</v>
      </c>
      <c r="G91" s="2">
        <v>11</v>
      </c>
      <c r="H91" s="2">
        <v>666.46</v>
      </c>
      <c r="I91" s="2">
        <v>20</v>
      </c>
      <c r="J91" s="2" t="s">
        <v>26</v>
      </c>
      <c r="K91">
        <f t="shared" si="1"/>
        <v>7331.06</v>
      </c>
      <c r="L91">
        <f>K91-(K91*I91/100)</f>
        <v>5864.848</v>
      </c>
    </row>
    <row r="92" spans="1:12" x14ac:dyDescent="0.25">
      <c r="A92" s="2">
        <v>10091</v>
      </c>
      <c r="B92" s="8">
        <v>45733</v>
      </c>
      <c r="C92" s="2" t="s">
        <v>54</v>
      </c>
      <c r="D92" s="2" t="s">
        <v>25</v>
      </c>
      <c r="E92" s="2" t="s">
        <v>17</v>
      </c>
      <c r="F92" s="2" t="s">
        <v>36</v>
      </c>
      <c r="G92" s="2">
        <v>2</v>
      </c>
      <c r="H92" s="2">
        <v>791.73</v>
      </c>
      <c r="I92" s="2">
        <v>10</v>
      </c>
      <c r="J92" s="2" t="s">
        <v>23</v>
      </c>
      <c r="K92">
        <f t="shared" si="1"/>
        <v>1583.46</v>
      </c>
      <c r="L92">
        <f>K92-(K92*I92/100)</f>
        <v>1425.114</v>
      </c>
    </row>
    <row r="93" spans="1:12" x14ac:dyDescent="0.25">
      <c r="A93" s="2">
        <v>10092</v>
      </c>
      <c r="B93" s="8">
        <v>45930</v>
      </c>
      <c r="C93" s="2" t="s">
        <v>54</v>
      </c>
      <c r="D93" s="2" t="s">
        <v>37</v>
      </c>
      <c r="E93" s="2" t="s">
        <v>12</v>
      </c>
      <c r="F93" s="2" t="s">
        <v>22</v>
      </c>
      <c r="G93" s="2">
        <v>2</v>
      </c>
      <c r="H93" s="2">
        <v>428.44</v>
      </c>
      <c r="I93" s="2">
        <v>10</v>
      </c>
      <c r="J93" s="2" t="s">
        <v>23</v>
      </c>
      <c r="K93">
        <f t="shared" si="1"/>
        <v>856.88</v>
      </c>
      <c r="L93">
        <f>K93-(K93*I93/100)</f>
        <v>771.19200000000001</v>
      </c>
    </row>
    <row r="94" spans="1:12" x14ac:dyDescent="0.25">
      <c r="A94" s="2">
        <v>10093</v>
      </c>
      <c r="B94" s="8">
        <v>45915</v>
      </c>
      <c r="C94" s="2" t="s">
        <v>43</v>
      </c>
      <c r="D94" s="2" t="s">
        <v>47</v>
      </c>
      <c r="E94" s="2" t="s">
        <v>40</v>
      </c>
      <c r="F94" s="2" t="s">
        <v>46</v>
      </c>
      <c r="G94" s="2">
        <v>6</v>
      </c>
      <c r="H94" s="2">
        <v>979.08</v>
      </c>
      <c r="I94" s="2">
        <v>15</v>
      </c>
      <c r="J94" s="2" t="s">
        <v>23</v>
      </c>
      <c r="K94">
        <f t="shared" si="1"/>
        <v>5874.4800000000005</v>
      </c>
      <c r="L94">
        <f>K94-(K94*I94/100)</f>
        <v>4993.308</v>
      </c>
    </row>
    <row r="95" spans="1:12" x14ac:dyDescent="0.25">
      <c r="A95" s="2">
        <v>10094</v>
      </c>
      <c r="B95" s="8">
        <v>45919</v>
      </c>
      <c r="C95" s="2" t="s">
        <v>42</v>
      </c>
      <c r="D95" s="2" t="s">
        <v>11</v>
      </c>
      <c r="E95" s="2" t="s">
        <v>12</v>
      </c>
      <c r="F95" s="2" t="s">
        <v>33</v>
      </c>
      <c r="G95" s="2">
        <v>12</v>
      </c>
      <c r="H95" s="2">
        <v>1671.13</v>
      </c>
      <c r="I95" s="2">
        <v>5</v>
      </c>
      <c r="J95" s="2" t="s">
        <v>14</v>
      </c>
      <c r="K95">
        <f t="shared" si="1"/>
        <v>20053.560000000001</v>
      </c>
      <c r="L95">
        <f>K95-(K95*I95/100)</f>
        <v>19050.882000000001</v>
      </c>
    </row>
    <row r="96" spans="1:12" x14ac:dyDescent="0.25">
      <c r="A96" s="2">
        <v>10095</v>
      </c>
      <c r="B96" s="8">
        <v>45922</v>
      </c>
      <c r="C96" s="2" t="s">
        <v>48</v>
      </c>
      <c r="D96" s="2" t="s">
        <v>25</v>
      </c>
      <c r="E96" s="2" t="s">
        <v>17</v>
      </c>
      <c r="F96" s="2" t="s">
        <v>36</v>
      </c>
      <c r="G96" s="2">
        <v>4</v>
      </c>
      <c r="H96" s="2">
        <v>4565.05</v>
      </c>
      <c r="I96" s="2">
        <v>0</v>
      </c>
      <c r="J96" s="2" t="s">
        <v>26</v>
      </c>
      <c r="K96">
        <f t="shared" si="1"/>
        <v>18260.2</v>
      </c>
      <c r="L96">
        <f>K96-(K96*I96/100)</f>
        <v>18260.2</v>
      </c>
    </row>
    <row r="97" spans="1:12" x14ac:dyDescent="0.25">
      <c r="A97" s="2">
        <v>10096</v>
      </c>
      <c r="B97" s="8">
        <v>45998</v>
      </c>
      <c r="C97" s="2" t="s">
        <v>39</v>
      </c>
      <c r="D97" s="2" t="s">
        <v>47</v>
      </c>
      <c r="E97" s="2" t="s">
        <v>17</v>
      </c>
      <c r="F97" s="2" t="s">
        <v>36</v>
      </c>
      <c r="G97" s="2">
        <v>2</v>
      </c>
      <c r="H97" s="2">
        <v>1109.28</v>
      </c>
      <c r="I97" s="2">
        <v>20</v>
      </c>
      <c r="J97" s="2" t="s">
        <v>23</v>
      </c>
      <c r="K97">
        <f t="shared" si="1"/>
        <v>2218.56</v>
      </c>
      <c r="L97">
        <f>K97-(K97*I97/100)</f>
        <v>1774.848</v>
      </c>
    </row>
    <row r="98" spans="1:12" x14ac:dyDescent="0.25">
      <c r="A98" s="2">
        <v>10097</v>
      </c>
      <c r="B98" s="8">
        <v>45883</v>
      </c>
      <c r="C98" s="2" t="s">
        <v>39</v>
      </c>
      <c r="D98" s="2" t="s">
        <v>51</v>
      </c>
      <c r="E98" s="2" t="s">
        <v>34</v>
      </c>
      <c r="F98" s="2" t="s">
        <v>35</v>
      </c>
      <c r="G98" s="2">
        <v>11</v>
      </c>
      <c r="H98" s="2">
        <v>3118.02</v>
      </c>
      <c r="I98" s="2">
        <v>5</v>
      </c>
      <c r="J98" s="2" t="s">
        <v>19</v>
      </c>
      <c r="K98">
        <f t="shared" si="1"/>
        <v>34298.22</v>
      </c>
      <c r="L98">
        <f>K98-(K98*I98/100)</f>
        <v>32583.309000000001</v>
      </c>
    </row>
    <row r="99" spans="1:12" x14ac:dyDescent="0.25">
      <c r="A99" s="2">
        <v>10098</v>
      </c>
      <c r="B99" s="8">
        <v>46011</v>
      </c>
      <c r="C99" s="2" t="s">
        <v>32</v>
      </c>
      <c r="D99" s="2" t="s">
        <v>21</v>
      </c>
      <c r="E99" s="2" t="s">
        <v>34</v>
      </c>
      <c r="F99" s="2" t="s">
        <v>50</v>
      </c>
      <c r="G99" s="2">
        <v>9</v>
      </c>
      <c r="H99" s="2">
        <v>2014.94</v>
      </c>
      <c r="I99" s="2">
        <v>5</v>
      </c>
      <c r="J99" s="2" t="s">
        <v>30</v>
      </c>
      <c r="K99">
        <f t="shared" si="1"/>
        <v>18134.46</v>
      </c>
      <c r="L99">
        <f>K99-(K99*I99/100)</f>
        <v>17227.737000000001</v>
      </c>
    </row>
    <row r="100" spans="1:12" x14ac:dyDescent="0.25">
      <c r="A100" s="2">
        <v>10099</v>
      </c>
      <c r="B100" s="8">
        <v>45927</v>
      </c>
      <c r="C100" s="2" t="s">
        <v>20</v>
      </c>
      <c r="D100" s="2" t="s">
        <v>45</v>
      </c>
      <c r="E100" s="2" t="s">
        <v>40</v>
      </c>
      <c r="F100" s="2" t="s">
        <v>41</v>
      </c>
      <c r="G100" s="2">
        <v>17</v>
      </c>
      <c r="H100" s="2">
        <v>453.02</v>
      </c>
      <c r="I100" s="2">
        <v>10</v>
      </c>
      <c r="J100" s="2" t="s">
        <v>14</v>
      </c>
      <c r="K100">
        <f t="shared" si="1"/>
        <v>7701.34</v>
      </c>
      <c r="L100">
        <f>K100-(K100*I100/100)</f>
        <v>6931.2060000000001</v>
      </c>
    </row>
    <row r="101" spans="1:12" x14ac:dyDescent="0.25">
      <c r="A101" s="2">
        <v>10100</v>
      </c>
      <c r="B101" s="8">
        <v>45905</v>
      </c>
      <c r="C101" s="2" t="s">
        <v>42</v>
      </c>
      <c r="D101" s="2" t="s">
        <v>51</v>
      </c>
      <c r="E101" s="2" t="s">
        <v>34</v>
      </c>
      <c r="F101" s="2" t="s">
        <v>38</v>
      </c>
      <c r="G101" s="2">
        <v>11</v>
      </c>
      <c r="H101" s="2">
        <v>241.83</v>
      </c>
      <c r="I101" s="2">
        <v>5</v>
      </c>
      <c r="J101" s="2" t="s">
        <v>26</v>
      </c>
      <c r="K101">
        <f t="shared" si="1"/>
        <v>2660.13</v>
      </c>
      <c r="L101">
        <f>K101-(K101*I101/100)</f>
        <v>2527.1235000000001</v>
      </c>
    </row>
    <row r="102" spans="1:12" x14ac:dyDescent="0.25">
      <c r="A102" s="2">
        <v>10101</v>
      </c>
      <c r="B102" s="8">
        <v>45832</v>
      </c>
      <c r="C102" s="2" t="s">
        <v>10</v>
      </c>
      <c r="D102" s="2" t="s">
        <v>29</v>
      </c>
      <c r="E102" s="2" t="s">
        <v>34</v>
      </c>
      <c r="F102" s="2" t="s">
        <v>38</v>
      </c>
      <c r="G102" s="2">
        <v>9</v>
      </c>
      <c r="H102" s="2">
        <v>2571.46</v>
      </c>
      <c r="I102" s="2">
        <v>15</v>
      </c>
      <c r="J102" s="2" t="s">
        <v>30</v>
      </c>
      <c r="K102">
        <f t="shared" si="1"/>
        <v>23143.14</v>
      </c>
      <c r="L102">
        <f>K102-(K102*I102/100)</f>
        <v>19671.669000000002</v>
      </c>
    </row>
    <row r="103" spans="1:12" x14ac:dyDescent="0.25">
      <c r="A103" s="2">
        <v>10102</v>
      </c>
      <c r="B103" s="8">
        <v>45871</v>
      </c>
      <c r="C103" s="2" t="s">
        <v>24</v>
      </c>
      <c r="D103" s="2" t="s">
        <v>16</v>
      </c>
      <c r="E103" s="2" t="s">
        <v>40</v>
      </c>
      <c r="F103" s="2" t="s">
        <v>53</v>
      </c>
      <c r="G103" s="2">
        <v>1</v>
      </c>
      <c r="H103" s="2">
        <v>1754.55</v>
      </c>
      <c r="I103" s="2">
        <v>5</v>
      </c>
      <c r="J103" s="2" t="s">
        <v>19</v>
      </c>
      <c r="K103">
        <f t="shared" si="1"/>
        <v>1754.55</v>
      </c>
      <c r="L103">
        <f>K103-(K103*I103/100)</f>
        <v>1666.8225</v>
      </c>
    </row>
    <row r="104" spans="1:12" x14ac:dyDescent="0.25">
      <c r="A104" s="2">
        <v>10103</v>
      </c>
      <c r="B104" s="8">
        <v>45733</v>
      </c>
      <c r="C104" s="2" t="s">
        <v>43</v>
      </c>
      <c r="D104" s="2" t="s">
        <v>45</v>
      </c>
      <c r="E104" s="2" t="s">
        <v>34</v>
      </c>
      <c r="F104" s="2" t="s">
        <v>35</v>
      </c>
      <c r="G104" s="2">
        <v>20</v>
      </c>
      <c r="H104" s="2">
        <v>2192.08</v>
      </c>
      <c r="I104" s="2">
        <v>15</v>
      </c>
      <c r="J104" s="2" t="s">
        <v>14</v>
      </c>
      <c r="K104">
        <f t="shared" si="1"/>
        <v>43841.599999999999</v>
      </c>
      <c r="L104">
        <f>K104-(K104*I104/100)</f>
        <v>37265.360000000001</v>
      </c>
    </row>
    <row r="105" spans="1:12" x14ac:dyDescent="0.25">
      <c r="A105" s="2">
        <v>10104</v>
      </c>
      <c r="B105" s="8">
        <v>45864</v>
      </c>
      <c r="C105" s="2" t="s">
        <v>31</v>
      </c>
      <c r="D105" s="2" t="s">
        <v>51</v>
      </c>
      <c r="E105" s="2" t="s">
        <v>34</v>
      </c>
      <c r="F105" s="2" t="s">
        <v>35</v>
      </c>
      <c r="G105" s="2">
        <v>7</v>
      </c>
      <c r="H105" s="2">
        <v>781.07</v>
      </c>
      <c r="I105" s="2">
        <v>20</v>
      </c>
      <c r="J105" s="2" t="s">
        <v>14</v>
      </c>
      <c r="K105">
        <f t="shared" si="1"/>
        <v>5467.4900000000007</v>
      </c>
      <c r="L105">
        <f>K105-(K105*I105/100)</f>
        <v>4373.9920000000002</v>
      </c>
    </row>
    <row r="106" spans="1:12" x14ac:dyDescent="0.25">
      <c r="A106" s="2">
        <v>10105</v>
      </c>
      <c r="B106" s="8">
        <v>45948</v>
      </c>
      <c r="C106" s="2" t="s">
        <v>27</v>
      </c>
      <c r="D106" s="2" t="s">
        <v>45</v>
      </c>
      <c r="E106" s="2" t="s">
        <v>17</v>
      </c>
      <c r="F106" s="2" t="s">
        <v>28</v>
      </c>
      <c r="G106" s="2">
        <v>7</v>
      </c>
      <c r="H106" s="2">
        <v>3951.44</v>
      </c>
      <c r="I106" s="2">
        <v>10</v>
      </c>
      <c r="J106" s="2" t="s">
        <v>23</v>
      </c>
      <c r="K106">
        <f t="shared" si="1"/>
        <v>27660.080000000002</v>
      </c>
      <c r="L106">
        <f>K106-(K106*I106/100)</f>
        <v>24894.072</v>
      </c>
    </row>
    <row r="107" spans="1:12" x14ac:dyDescent="0.25">
      <c r="A107" s="2">
        <v>10106</v>
      </c>
      <c r="B107" s="8">
        <v>45706</v>
      </c>
      <c r="C107" s="2" t="s">
        <v>42</v>
      </c>
      <c r="D107" s="2" t="s">
        <v>29</v>
      </c>
      <c r="E107" s="2" t="s">
        <v>12</v>
      </c>
      <c r="F107" s="2" t="s">
        <v>56</v>
      </c>
      <c r="G107" s="2">
        <v>19</v>
      </c>
      <c r="H107" s="2">
        <v>471.44</v>
      </c>
      <c r="I107" s="2">
        <v>10</v>
      </c>
      <c r="J107" s="2" t="s">
        <v>23</v>
      </c>
      <c r="K107">
        <f t="shared" si="1"/>
        <v>8957.36</v>
      </c>
      <c r="L107">
        <f>K107-(K107*I107/100)</f>
        <v>8061.6240000000007</v>
      </c>
    </row>
    <row r="108" spans="1:12" x14ac:dyDescent="0.25">
      <c r="A108" s="2">
        <v>10107</v>
      </c>
      <c r="B108" s="8">
        <v>45953</v>
      </c>
      <c r="C108" s="2" t="s">
        <v>20</v>
      </c>
      <c r="D108" s="2" t="s">
        <v>37</v>
      </c>
      <c r="E108" s="2" t="s">
        <v>40</v>
      </c>
      <c r="F108" s="2" t="s">
        <v>46</v>
      </c>
      <c r="G108" s="2">
        <v>5</v>
      </c>
      <c r="H108" s="2">
        <v>4851.87</v>
      </c>
      <c r="I108" s="2">
        <v>15</v>
      </c>
      <c r="J108" s="2" t="s">
        <v>14</v>
      </c>
      <c r="K108">
        <f t="shared" si="1"/>
        <v>24259.35</v>
      </c>
      <c r="L108">
        <f>K108-(K108*I108/100)</f>
        <v>20620.447499999998</v>
      </c>
    </row>
    <row r="109" spans="1:12" x14ac:dyDescent="0.25">
      <c r="A109" s="2">
        <v>10108</v>
      </c>
      <c r="B109" s="8">
        <v>45796</v>
      </c>
      <c r="C109" s="2" t="s">
        <v>27</v>
      </c>
      <c r="D109" s="2" t="s">
        <v>47</v>
      </c>
      <c r="E109" s="2" t="s">
        <v>12</v>
      </c>
      <c r="F109" s="2" t="s">
        <v>13</v>
      </c>
      <c r="G109" s="2">
        <v>2</v>
      </c>
      <c r="H109" s="2">
        <v>4057.49</v>
      </c>
      <c r="I109" s="2">
        <v>10</v>
      </c>
      <c r="J109" s="2" t="s">
        <v>23</v>
      </c>
      <c r="K109">
        <f t="shared" si="1"/>
        <v>8114.98</v>
      </c>
      <c r="L109">
        <f>K109-(K109*I109/100)</f>
        <v>7303.482</v>
      </c>
    </row>
    <row r="110" spans="1:12" x14ac:dyDescent="0.25">
      <c r="A110" s="2">
        <v>10109</v>
      </c>
      <c r="B110" s="8">
        <v>45988</v>
      </c>
      <c r="C110" s="2" t="s">
        <v>31</v>
      </c>
      <c r="D110" s="2" t="s">
        <v>51</v>
      </c>
      <c r="E110" s="2" t="s">
        <v>34</v>
      </c>
      <c r="F110" s="2" t="s">
        <v>35</v>
      </c>
      <c r="G110" s="2">
        <v>16</v>
      </c>
      <c r="H110" s="2">
        <v>2968.71</v>
      </c>
      <c r="I110" s="2">
        <v>10</v>
      </c>
      <c r="J110" s="2" t="s">
        <v>14</v>
      </c>
      <c r="K110">
        <f t="shared" si="1"/>
        <v>47499.360000000001</v>
      </c>
      <c r="L110">
        <f>K110-(K110*I110/100)</f>
        <v>42749.423999999999</v>
      </c>
    </row>
    <row r="111" spans="1:12" x14ac:dyDescent="0.25">
      <c r="A111" s="2">
        <v>10110</v>
      </c>
      <c r="B111" s="8">
        <v>45985</v>
      </c>
      <c r="C111" s="2" t="s">
        <v>54</v>
      </c>
      <c r="D111" s="2" t="s">
        <v>52</v>
      </c>
      <c r="E111" s="2" t="s">
        <v>12</v>
      </c>
      <c r="F111" s="2" t="s">
        <v>33</v>
      </c>
      <c r="G111" s="2">
        <v>5</v>
      </c>
      <c r="H111" s="2">
        <v>2739.88</v>
      </c>
      <c r="I111" s="2">
        <v>5</v>
      </c>
      <c r="J111" s="2" t="s">
        <v>19</v>
      </c>
      <c r="K111">
        <f t="shared" si="1"/>
        <v>13699.400000000001</v>
      </c>
      <c r="L111">
        <f>K111-(K111*I111/100)</f>
        <v>13014.430000000002</v>
      </c>
    </row>
    <row r="112" spans="1:12" x14ac:dyDescent="0.25">
      <c r="A112" s="2">
        <v>10111</v>
      </c>
      <c r="B112" s="8">
        <v>45911</v>
      </c>
      <c r="C112" s="2" t="s">
        <v>54</v>
      </c>
      <c r="D112" s="2" t="s">
        <v>16</v>
      </c>
      <c r="E112" s="2" t="s">
        <v>40</v>
      </c>
      <c r="F112" s="2" t="s">
        <v>49</v>
      </c>
      <c r="G112" s="2">
        <v>11</v>
      </c>
      <c r="H112" s="2">
        <v>2903.32</v>
      </c>
      <c r="I112" s="2">
        <v>10</v>
      </c>
      <c r="J112" s="2" t="s">
        <v>23</v>
      </c>
      <c r="K112">
        <f t="shared" si="1"/>
        <v>31936.52</v>
      </c>
      <c r="L112">
        <f>K112-(K112*I112/100)</f>
        <v>28742.868000000002</v>
      </c>
    </row>
    <row r="113" spans="1:12" x14ac:dyDescent="0.25">
      <c r="A113" s="2">
        <v>10112</v>
      </c>
      <c r="B113" s="8">
        <v>45884</v>
      </c>
      <c r="C113" s="2" t="s">
        <v>24</v>
      </c>
      <c r="D113" s="2" t="s">
        <v>25</v>
      </c>
      <c r="E113" s="2" t="s">
        <v>12</v>
      </c>
      <c r="F113" s="2" t="s">
        <v>13</v>
      </c>
      <c r="G113" s="2">
        <v>20</v>
      </c>
      <c r="H113" s="2">
        <v>288.17</v>
      </c>
      <c r="I113" s="2">
        <v>10</v>
      </c>
      <c r="J113" s="2" t="s">
        <v>19</v>
      </c>
      <c r="K113">
        <f t="shared" si="1"/>
        <v>5763.4000000000005</v>
      </c>
      <c r="L113">
        <f>K113-(K113*I113/100)</f>
        <v>5187.0600000000004</v>
      </c>
    </row>
    <row r="114" spans="1:12" x14ac:dyDescent="0.25">
      <c r="A114" s="2">
        <v>10113</v>
      </c>
      <c r="B114" s="8">
        <v>45975</v>
      </c>
      <c r="C114" s="2" t="s">
        <v>15</v>
      </c>
      <c r="D114" s="2" t="s">
        <v>52</v>
      </c>
      <c r="E114" s="2" t="s">
        <v>12</v>
      </c>
      <c r="F114" s="2" t="s">
        <v>22</v>
      </c>
      <c r="G114" s="2">
        <v>16</v>
      </c>
      <c r="H114" s="2">
        <v>4823.5200000000004</v>
      </c>
      <c r="I114" s="2">
        <v>10</v>
      </c>
      <c r="J114" s="2" t="s">
        <v>14</v>
      </c>
      <c r="K114">
        <f t="shared" si="1"/>
        <v>77176.320000000007</v>
      </c>
      <c r="L114">
        <f>K114-(K114*I114/100)</f>
        <v>69458.688000000009</v>
      </c>
    </row>
    <row r="115" spans="1:12" x14ac:dyDescent="0.25">
      <c r="A115" s="2">
        <v>10114</v>
      </c>
      <c r="B115" s="8">
        <v>45780</v>
      </c>
      <c r="C115" s="2" t="s">
        <v>31</v>
      </c>
      <c r="D115" s="2" t="s">
        <v>11</v>
      </c>
      <c r="E115" s="2" t="s">
        <v>34</v>
      </c>
      <c r="F115" s="2" t="s">
        <v>38</v>
      </c>
      <c r="G115" s="2">
        <v>19</v>
      </c>
      <c r="H115" s="2">
        <v>4074.87</v>
      </c>
      <c r="I115" s="2">
        <v>5</v>
      </c>
      <c r="J115" s="2" t="s">
        <v>30</v>
      </c>
      <c r="K115">
        <f t="shared" si="1"/>
        <v>77422.53</v>
      </c>
      <c r="L115">
        <f>K115-(K115*I115/100)</f>
        <v>73551.4035</v>
      </c>
    </row>
    <row r="116" spans="1:12" x14ac:dyDescent="0.25">
      <c r="A116" s="2">
        <v>10115</v>
      </c>
      <c r="B116" s="8">
        <v>45719</v>
      </c>
      <c r="C116" s="2" t="s">
        <v>15</v>
      </c>
      <c r="D116" s="2" t="s">
        <v>21</v>
      </c>
      <c r="E116" s="2" t="s">
        <v>40</v>
      </c>
      <c r="F116" s="2" t="s">
        <v>53</v>
      </c>
      <c r="G116" s="2">
        <v>16</v>
      </c>
      <c r="H116" s="2">
        <v>4030.93</v>
      </c>
      <c r="I116" s="2">
        <v>10</v>
      </c>
      <c r="J116" s="2" t="s">
        <v>23</v>
      </c>
      <c r="K116">
        <f t="shared" si="1"/>
        <v>64494.879999999997</v>
      </c>
      <c r="L116">
        <f>K116-(K116*I116/100)</f>
        <v>58045.392</v>
      </c>
    </row>
    <row r="117" spans="1:12" x14ac:dyDescent="0.25">
      <c r="A117" s="2">
        <v>10116</v>
      </c>
      <c r="B117" s="8">
        <v>45929</v>
      </c>
      <c r="C117" s="2" t="s">
        <v>31</v>
      </c>
      <c r="D117" s="2" t="s">
        <v>25</v>
      </c>
      <c r="E117" s="2" t="s">
        <v>40</v>
      </c>
      <c r="F117" s="2" t="s">
        <v>41</v>
      </c>
      <c r="G117" s="2">
        <v>8</v>
      </c>
      <c r="H117" s="2">
        <v>1683.97</v>
      </c>
      <c r="I117" s="2">
        <v>15</v>
      </c>
      <c r="J117" s="2" t="s">
        <v>19</v>
      </c>
      <c r="K117">
        <f t="shared" si="1"/>
        <v>13471.76</v>
      </c>
      <c r="L117">
        <f>K117-(K117*I117/100)</f>
        <v>11450.996000000001</v>
      </c>
    </row>
    <row r="118" spans="1:12" x14ac:dyDescent="0.25">
      <c r="A118" s="2">
        <v>10117</v>
      </c>
      <c r="B118" s="8">
        <v>45721</v>
      </c>
      <c r="C118" s="2" t="s">
        <v>24</v>
      </c>
      <c r="D118" s="2" t="s">
        <v>21</v>
      </c>
      <c r="E118" s="2" t="s">
        <v>12</v>
      </c>
      <c r="F118" s="2" t="s">
        <v>56</v>
      </c>
      <c r="G118" s="2">
        <v>5</v>
      </c>
      <c r="H118" s="2">
        <v>125.63</v>
      </c>
      <c r="I118" s="2">
        <v>15</v>
      </c>
      <c r="J118" s="2" t="s">
        <v>14</v>
      </c>
      <c r="K118">
        <f t="shared" si="1"/>
        <v>628.15</v>
      </c>
      <c r="L118">
        <f>K118-(K118*I118/100)</f>
        <v>533.92750000000001</v>
      </c>
    </row>
    <row r="119" spans="1:12" x14ac:dyDescent="0.25">
      <c r="A119" s="2">
        <v>10118</v>
      </c>
      <c r="B119" s="8">
        <v>45996</v>
      </c>
      <c r="C119" s="2" t="s">
        <v>20</v>
      </c>
      <c r="D119" s="2" t="s">
        <v>45</v>
      </c>
      <c r="E119" s="2" t="s">
        <v>12</v>
      </c>
      <c r="F119" s="2" t="s">
        <v>33</v>
      </c>
      <c r="G119" s="2">
        <v>3</v>
      </c>
      <c r="H119" s="2">
        <v>2825.02</v>
      </c>
      <c r="I119" s="2">
        <v>0</v>
      </c>
      <c r="J119" s="2" t="s">
        <v>19</v>
      </c>
      <c r="K119">
        <f t="shared" si="1"/>
        <v>8475.06</v>
      </c>
      <c r="L119">
        <f>K119-(K119*I119/100)</f>
        <v>8475.06</v>
      </c>
    </row>
    <row r="120" spans="1:12" x14ac:dyDescent="0.25">
      <c r="A120" s="2">
        <v>10119</v>
      </c>
      <c r="B120" s="8">
        <v>45824</v>
      </c>
      <c r="C120" s="2" t="s">
        <v>20</v>
      </c>
      <c r="D120" s="2" t="s">
        <v>16</v>
      </c>
      <c r="E120" s="2" t="s">
        <v>40</v>
      </c>
      <c r="F120" s="2" t="s">
        <v>46</v>
      </c>
      <c r="G120" s="2">
        <v>11</v>
      </c>
      <c r="H120" s="2">
        <v>1855.49</v>
      </c>
      <c r="I120" s="2">
        <v>15</v>
      </c>
      <c r="J120" s="2" t="s">
        <v>19</v>
      </c>
      <c r="K120">
        <f t="shared" si="1"/>
        <v>20410.39</v>
      </c>
      <c r="L120">
        <f>K120-(K120*I120/100)</f>
        <v>17348.8315</v>
      </c>
    </row>
    <row r="121" spans="1:12" x14ac:dyDescent="0.25">
      <c r="A121" s="2">
        <v>10120</v>
      </c>
      <c r="B121" s="8">
        <v>45767</v>
      </c>
      <c r="C121" s="2" t="s">
        <v>15</v>
      </c>
      <c r="D121" s="2" t="s">
        <v>29</v>
      </c>
      <c r="E121" s="2" t="s">
        <v>17</v>
      </c>
      <c r="F121" s="2" t="s">
        <v>36</v>
      </c>
      <c r="G121" s="2">
        <v>14</v>
      </c>
      <c r="H121" s="2">
        <v>1299.1300000000001</v>
      </c>
      <c r="I121" s="2">
        <v>15</v>
      </c>
      <c r="J121" s="2" t="s">
        <v>19</v>
      </c>
      <c r="K121">
        <f t="shared" si="1"/>
        <v>18187.82</v>
      </c>
      <c r="L121">
        <f>K121-(K121*I121/100)</f>
        <v>15459.647000000001</v>
      </c>
    </row>
    <row r="122" spans="1:12" x14ac:dyDescent="0.25">
      <c r="A122" s="2">
        <v>10121</v>
      </c>
      <c r="B122" s="8">
        <v>45886</v>
      </c>
      <c r="C122" s="2" t="s">
        <v>20</v>
      </c>
      <c r="D122" s="2" t="s">
        <v>45</v>
      </c>
      <c r="E122" s="2" t="s">
        <v>40</v>
      </c>
      <c r="F122" s="2" t="s">
        <v>49</v>
      </c>
      <c r="G122" s="2">
        <v>9</v>
      </c>
      <c r="H122" s="2">
        <v>3166.78</v>
      </c>
      <c r="I122" s="2">
        <v>20</v>
      </c>
      <c r="J122" s="2" t="s">
        <v>23</v>
      </c>
      <c r="K122">
        <f t="shared" si="1"/>
        <v>28501.02</v>
      </c>
      <c r="L122">
        <f>K122-(K122*I122/100)</f>
        <v>22800.815999999999</v>
      </c>
    </row>
    <row r="123" spans="1:12" x14ac:dyDescent="0.25">
      <c r="A123" s="2">
        <v>10122</v>
      </c>
      <c r="B123" s="8">
        <v>45985</v>
      </c>
      <c r="C123" s="2" t="s">
        <v>27</v>
      </c>
      <c r="D123" s="2" t="s">
        <v>37</v>
      </c>
      <c r="E123" s="2" t="s">
        <v>34</v>
      </c>
      <c r="F123" s="2" t="s">
        <v>44</v>
      </c>
      <c r="G123" s="2">
        <v>19</v>
      </c>
      <c r="H123" s="2">
        <v>4797.83</v>
      </c>
      <c r="I123" s="2">
        <v>0</v>
      </c>
      <c r="J123" s="2" t="s">
        <v>19</v>
      </c>
      <c r="K123">
        <f t="shared" si="1"/>
        <v>91158.77</v>
      </c>
      <c r="L123">
        <f>K123-(K123*I123/100)</f>
        <v>91158.77</v>
      </c>
    </row>
    <row r="124" spans="1:12" x14ac:dyDescent="0.25">
      <c r="A124" s="2">
        <v>10123</v>
      </c>
      <c r="B124" s="8">
        <v>45767</v>
      </c>
      <c r="C124" s="2" t="s">
        <v>15</v>
      </c>
      <c r="D124" s="2" t="s">
        <v>52</v>
      </c>
      <c r="E124" s="2" t="s">
        <v>40</v>
      </c>
      <c r="F124" s="2" t="s">
        <v>53</v>
      </c>
      <c r="G124" s="2">
        <v>15</v>
      </c>
      <c r="H124" s="2">
        <v>1636.15</v>
      </c>
      <c r="I124" s="2">
        <v>15</v>
      </c>
      <c r="J124" s="2" t="s">
        <v>23</v>
      </c>
      <c r="K124">
        <f t="shared" si="1"/>
        <v>24542.25</v>
      </c>
      <c r="L124">
        <f>K124-(K124*I124/100)</f>
        <v>20860.912499999999</v>
      </c>
    </row>
    <row r="125" spans="1:12" x14ac:dyDescent="0.25">
      <c r="A125" s="2">
        <v>10124</v>
      </c>
      <c r="B125" s="8">
        <v>45684</v>
      </c>
      <c r="C125" s="2" t="s">
        <v>32</v>
      </c>
      <c r="D125" s="2" t="s">
        <v>52</v>
      </c>
      <c r="E125" s="2" t="s">
        <v>12</v>
      </c>
      <c r="F125" s="2" t="s">
        <v>13</v>
      </c>
      <c r="G125" s="2">
        <v>12</v>
      </c>
      <c r="H125" s="2">
        <v>2738.98</v>
      </c>
      <c r="I125" s="2">
        <v>20</v>
      </c>
      <c r="J125" s="2" t="s">
        <v>30</v>
      </c>
      <c r="K125">
        <f t="shared" si="1"/>
        <v>32867.760000000002</v>
      </c>
      <c r="L125">
        <f>K125-(K125*I125/100)</f>
        <v>26294.208000000002</v>
      </c>
    </row>
    <row r="126" spans="1:12" x14ac:dyDescent="0.25">
      <c r="A126" s="2">
        <v>10125</v>
      </c>
      <c r="B126" s="8">
        <v>46012</v>
      </c>
      <c r="C126" s="2" t="s">
        <v>48</v>
      </c>
      <c r="D126" s="2" t="s">
        <v>29</v>
      </c>
      <c r="E126" s="2" t="s">
        <v>34</v>
      </c>
      <c r="F126" s="2" t="s">
        <v>44</v>
      </c>
      <c r="G126" s="2">
        <v>15</v>
      </c>
      <c r="H126" s="2">
        <v>2230.9699999999998</v>
      </c>
      <c r="I126" s="2">
        <v>10</v>
      </c>
      <c r="J126" s="2" t="s">
        <v>30</v>
      </c>
      <c r="K126">
        <f t="shared" si="1"/>
        <v>33464.549999999996</v>
      </c>
      <c r="L126">
        <f>K126-(K126*I126/100)</f>
        <v>30118.094999999998</v>
      </c>
    </row>
    <row r="127" spans="1:12" x14ac:dyDescent="0.25">
      <c r="A127" s="2">
        <v>10126</v>
      </c>
      <c r="B127" s="8">
        <v>45844</v>
      </c>
      <c r="C127" s="2" t="s">
        <v>39</v>
      </c>
      <c r="D127" s="2" t="s">
        <v>25</v>
      </c>
      <c r="E127" s="2" t="s">
        <v>40</v>
      </c>
      <c r="F127" s="2" t="s">
        <v>46</v>
      </c>
      <c r="G127" s="2">
        <v>18</v>
      </c>
      <c r="H127" s="2">
        <v>1529</v>
      </c>
      <c r="I127" s="2">
        <v>10</v>
      </c>
      <c r="J127" s="2" t="s">
        <v>30</v>
      </c>
      <c r="K127">
        <f t="shared" si="1"/>
        <v>27522</v>
      </c>
      <c r="L127">
        <f>K127-(K127*I127/100)</f>
        <v>24769.8</v>
      </c>
    </row>
    <row r="128" spans="1:12" x14ac:dyDescent="0.25">
      <c r="A128" s="2">
        <v>10127</v>
      </c>
      <c r="B128" s="8">
        <v>45987</v>
      </c>
      <c r="C128" s="2" t="s">
        <v>10</v>
      </c>
      <c r="D128" s="2" t="s">
        <v>45</v>
      </c>
      <c r="E128" s="2" t="s">
        <v>12</v>
      </c>
      <c r="F128" s="2" t="s">
        <v>22</v>
      </c>
      <c r="G128" s="2">
        <v>13</v>
      </c>
      <c r="H128" s="2">
        <v>785.07</v>
      </c>
      <c r="I128" s="2">
        <v>0</v>
      </c>
      <c r="J128" s="2" t="s">
        <v>14</v>
      </c>
      <c r="K128">
        <f t="shared" si="1"/>
        <v>10205.91</v>
      </c>
      <c r="L128">
        <f>K128-(K128*I128/100)</f>
        <v>10205.91</v>
      </c>
    </row>
    <row r="129" spans="1:12" x14ac:dyDescent="0.25">
      <c r="A129" s="2">
        <v>10128</v>
      </c>
      <c r="B129" s="8">
        <v>45791</v>
      </c>
      <c r="C129" s="2" t="s">
        <v>31</v>
      </c>
      <c r="D129" s="2" t="s">
        <v>47</v>
      </c>
      <c r="E129" s="2" t="s">
        <v>12</v>
      </c>
      <c r="F129" s="2" t="s">
        <v>22</v>
      </c>
      <c r="G129" s="2">
        <v>3</v>
      </c>
      <c r="H129" s="2">
        <v>1604.88</v>
      </c>
      <c r="I129" s="2">
        <v>15</v>
      </c>
      <c r="J129" s="2" t="s">
        <v>30</v>
      </c>
      <c r="K129">
        <f t="shared" si="1"/>
        <v>4814.6400000000003</v>
      </c>
      <c r="L129">
        <f>K129-(K129*I129/100)</f>
        <v>4092.4440000000004</v>
      </c>
    </row>
    <row r="130" spans="1:12" x14ac:dyDescent="0.25">
      <c r="A130" s="2">
        <v>10129</v>
      </c>
      <c r="B130" s="8">
        <v>45903</v>
      </c>
      <c r="C130" s="2" t="s">
        <v>10</v>
      </c>
      <c r="D130" s="2" t="s">
        <v>47</v>
      </c>
      <c r="E130" s="2" t="s">
        <v>17</v>
      </c>
      <c r="F130" s="2" t="s">
        <v>28</v>
      </c>
      <c r="G130" s="2">
        <v>19</v>
      </c>
      <c r="H130" s="2">
        <v>494.82</v>
      </c>
      <c r="I130" s="2">
        <v>10</v>
      </c>
      <c r="J130" s="2" t="s">
        <v>19</v>
      </c>
      <c r="K130">
        <f t="shared" si="1"/>
        <v>9401.58</v>
      </c>
      <c r="L130">
        <f>K130-(K130*I130/100)</f>
        <v>8461.4220000000005</v>
      </c>
    </row>
    <row r="131" spans="1:12" x14ac:dyDescent="0.25">
      <c r="A131" s="2">
        <v>10130</v>
      </c>
      <c r="B131" s="8">
        <v>45978</v>
      </c>
      <c r="C131" s="2" t="s">
        <v>20</v>
      </c>
      <c r="D131" s="2" t="s">
        <v>45</v>
      </c>
      <c r="E131" s="2" t="s">
        <v>12</v>
      </c>
      <c r="F131" s="2" t="s">
        <v>13</v>
      </c>
      <c r="G131" s="2">
        <v>20</v>
      </c>
      <c r="H131" s="2">
        <v>3340.24</v>
      </c>
      <c r="I131" s="2">
        <v>20</v>
      </c>
      <c r="J131" s="2" t="s">
        <v>14</v>
      </c>
      <c r="K131">
        <f t="shared" ref="K131:K194" si="2">G131*H131</f>
        <v>66804.799999999988</v>
      </c>
      <c r="L131">
        <f>K131-(K131*I131/100)</f>
        <v>53443.839999999989</v>
      </c>
    </row>
    <row r="132" spans="1:12" x14ac:dyDescent="0.25">
      <c r="A132" s="2">
        <v>10131</v>
      </c>
      <c r="B132" s="8">
        <v>45713</v>
      </c>
      <c r="C132" s="2" t="s">
        <v>10</v>
      </c>
      <c r="D132" s="2" t="s">
        <v>21</v>
      </c>
      <c r="E132" s="2" t="s">
        <v>40</v>
      </c>
      <c r="F132" s="2" t="s">
        <v>41</v>
      </c>
      <c r="G132" s="2">
        <v>2</v>
      </c>
      <c r="H132" s="2">
        <v>2968.79</v>
      </c>
      <c r="I132" s="2">
        <v>0</v>
      </c>
      <c r="J132" s="2" t="s">
        <v>26</v>
      </c>
      <c r="K132">
        <f t="shared" si="2"/>
        <v>5937.58</v>
      </c>
      <c r="L132">
        <f>K132-(K132*I132/100)</f>
        <v>5937.58</v>
      </c>
    </row>
    <row r="133" spans="1:12" x14ac:dyDescent="0.25">
      <c r="A133" s="2">
        <v>10132</v>
      </c>
      <c r="B133" s="8">
        <v>45675</v>
      </c>
      <c r="C133" s="2" t="s">
        <v>20</v>
      </c>
      <c r="D133" s="2" t="s">
        <v>16</v>
      </c>
      <c r="E133" s="2" t="s">
        <v>17</v>
      </c>
      <c r="F133" s="2" t="s">
        <v>36</v>
      </c>
      <c r="G133" s="2">
        <v>15</v>
      </c>
      <c r="H133" s="2">
        <v>3942.73</v>
      </c>
      <c r="I133" s="2">
        <v>0</v>
      </c>
      <c r="J133" s="2" t="s">
        <v>14</v>
      </c>
      <c r="K133">
        <f t="shared" si="2"/>
        <v>59140.95</v>
      </c>
      <c r="L133">
        <f>K133-(K133*I133/100)</f>
        <v>59140.95</v>
      </c>
    </row>
    <row r="134" spans="1:12" x14ac:dyDescent="0.25">
      <c r="A134" s="2">
        <v>10133</v>
      </c>
      <c r="B134" s="8">
        <v>45665</v>
      </c>
      <c r="C134" s="2" t="s">
        <v>32</v>
      </c>
      <c r="D134" s="2" t="s">
        <v>37</v>
      </c>
      <c r="E134" s="2" t="s">
        <v>34</v>
      </c>
      <c r="F134" s="2" t="s">
        <v>50</v>
      </c>
      <c r="G134" s="2">
        <v>19</v>
      </c>
      <c r="H134" s="2">
        <v>3237.08</v>
      </c>
      <c r="I134" s="2">
        <v>0</v>
      </c>
      <c r="J134" s="2" t="s">
        <v>30</v>
      </c>
      <c r="K134">
        <f t="shared" si="2"/>
        <v>61504.52</v>
      </c>
      <c r="L134">
        <f>K134-(K134*I134/100)</f>
        <v>61504.52</v>
      </c>
    </row>
    <row r="135" spans="1:12" x14ac:dyDescent="0.25">
      <c r="A135" s="2">
        <v>10134</v>
      </c>
      <c r="B135" s="8">
        <v>45749</v>
      </c>
      <c r="C135" s="2" t="s">
        <v>15</v>
      </c>
      <c r="D135" s="2" t="s">
        <v>16</v>
      </c>
      <c r="E135" s="2" t="s">
        <v>34</v>
      </c>
      <c r="F135" s="2" t="s">
        <v>38</v>
      </c>
      <c r="G135" s="2">
        <v>19</v>
      </c>
      <c r="H135" s="2">
        <v>3719.76</v>
      </c>
      <c r="I135" s="2">
        <v>0</v>
      </c>
      <c r="J135" s="2" t="s">
        <v>23</v>
      </c>
      <c r="K135">
        <f t="shared" si="2"/>
        <v>70675.44</v>
      </c>
      <c r="L135">
        <f>K135-(K135*I135/100)</f>
        <v>70675.44</v>
      </c>
    </row>
    <row r="136" spans="1:12" x14ac:dyDescent="0.25">
      <c r="A136" s="2">
        <v>10135</v>
      </c>
      <c r="B136" s="8">
        <v>45904</v>
      </c>
      <c r="C136" s="2" t="s">
        <v>43</v>
      </c>
      <c r="D136" s="2" t="s">
        <v>45</v>
      </c>
      <c r="E136" s="2" t="s">
        <v>40</v>
      </c>
      <c r="F136" s="2" t="s">
        <v>41</v>
      </c>
      <c r="G136" s="2">
        <v>1</v>
      </c>
      <c r="H136" s="2">
        <v>2974.1</v>
      </c>
      <c r="I136" s="2">
        <v>5</v>
      </c>
      <c r="J136" s="2" t="s">
        <v>23</v>
      </c>
      <c r="K136">
        <f t="shared" si="2"/>
        <v>2974.1</v>
      </c>
      <c r="L136">
        <f>K136-(K136*I136/100)</f>
        <v>2825.395</v>
      </c>
    </row>
    <row r="137" spans="1:12" x14ac:dyDescent="0.25">
      <c r="A137" s="2">
        <v>10136</v>
      </c>
      <c r="B137" s="8">
        <v>45807</v>
      </c>
      <c r="C137" s="2" t="s">
        <v>32</v>
      </c>
      <c r="D137" s="2" t="s">
        <v>47</v>
      </c>
      <c r="E137" s="2" t="s">
        <v>12</v>
      </c>
      <c r="F137" s="2" t="s">
        <v>33</v>
      </c>
      <c r="G137" s="2">
        <v>3</v>
      </c>
      <c r="H137" s="2">
        <v>3562.56</v>
      </c>
      <c r="I137" s="2">
        <v>15</v>
      </c>
      <c r="J137" s="2" t="s">
        <v>23</v>
      </c>
      <c r="K137">
        <f t="shared" si="2"/>
        <v>10687.68</v>
      </c>
      <c r="L137">
        <f>K137-(K137*I137/100)</f>
        <v>9084.5280000000002</v>
      </c>
    </row>
    <row r="138" spans="1:12" x14ac:dyDescent="0.25">
      <c r="A138" s="2">
        <v>10137</v>
      </c>
      <c r="B138" s="8">
        <v>45727</v>
      </c>
      <c r="C138" s="2" t="s">
        <v>32</v>
      </c>
      <c r="D138" s="2" t="s">
        <v>11</v>
      </c>
      <c r="E138" s="2" t="s">
        <v>12</v>
      </c>
      <c r="F138" s="2" t="s">
        <v>22</v>
      </c>
      <c r="G138" s="2">
        <v>11</v>
      </c>
      <c r="H138" s="2">
        <v>3975.08</v>
      </c>
      <c r="I138" s="2">
        <v>5</v>
      </c>
      <c r="J138" s="2" t="s">
        <v>19</v>
      </c>
      <c r="K138">
        <f t="shared" si="2"/>
        <v>43725.88</v>
      </c>
      <c r="L138">
        <f>K138-(K138*I138/100)</f>
        <v>41539.585999999996</v>
      </c>
    </row>
    <row r="139" spans="1:12" x14ac:dyDescent="0.25">
      <c r="A139" s="2">
        <v>10138</v>
      </c>
      <c r="B139" s="8">
        <v>45739</v>
      </c>
      <c r="C139" s="2" t="s">
        <v>32</v>
      </c>
      <c r="D139" s="2" t="s">
        <v>45</v>
      </c>
      <c r="E139" s="2" t="s">
        <v>40</v>
      </c>
      <c r="F139" s="2" t="s">
        <v>49</v>
      </c>
      <c r="G139" s="2">
        <v>15</v>
      </c>
      <c r="H139" s="2">
        <v>1660.63</v>
      </c>
      <c r="I139" s="2">
        <v>0</v>
      </c>
      <c r="J139" s="2" t="s">
        <v>26</v>
      </c>
      <c r="K139">
        <f t="shared" si="2"/>
        <v>24909.45</v>
      </c>
      <c r="L139">
        <f>K139-(K139*I139/100)</f>
        <v>24909.45</v>
      </c>
    </row>
    <row r="140" spans="1:12" x14ac:dyDescent="0.25">
      <c r="A140" s="2">
        <v>10139</v>
      </c>
      <c r="B140" s="8">
        <v>45853</v>
      </c>
      <c r="C140" s="2" t="s">
        <v>42</v>
      </c>
      <c r="D140" s="2" t="s">
        <v>11</v>
      </c>
      <c r="E140" s="2" t="s">
        <v>17</v>
      </c>
      <c r="F140" s="2" t="s">
        <v>28</v>
      </c>
      <c r="G140" s="2">
        <v>2</v>
      </c>
      <c r="H140" s="2">
        <v>299.83</v>
      </c>
      <c r="I140" s="2">
        <v>5</v>
      </c>
      <c r="J140" s="2" t="s">
        <v>30</v>
      </c>
      <c r="K140">
        <f t="shared" si="2"/>
        <v>599.66</v>
      </c>
      <c r="L140">
        <f>K140-(K140*I140/100)</f>
        <v>569.67700000000002</v>
      </c>
    </row>
    <row r="141" spans="1:12" x14ac:dyDescent="0.25">
      <c r="A141" s="2">
        <v>10140</v>
      </c>
      <c r="B141" s="8">
        <v>45675</v>
      </c>
      <c r="C141" s="2" t="s">
        <v>54</v>
      </c>
      <c r="D141" s="2" t="s">
        <v>52</v>
      </c>
      <c r="E141" s="2" t="s">
        <v>34</v>
      </c>
      <c r="F141" s="2" t="s">
        <v>44</v>
      </c>
      <c r="G141" s="2">
        <v>18</v>
      </c>
      <c r="H141" s="2">
        <v>3119.42</v>
      </c>
      <c r="I141" s="2">
        <v>5</v>
      </c>
      <c r="J141" s="2" t="s">
        <v>19</v>
      </c>
      <c r="K141">
        <f t="shared" si="2"/>
        <v>56149.56</v>
      </c>
      <c r="L141">
        <f>K141-(K141*I141/100)</f>
        <v>53342.081999999995</v>
      </c>
    </row>
    <row r="142" spans="1:12" x14ac:dyDescent="0.25">
      <c r="A142" s="2">
        <v>10141</v>
      </c>
      <c r="B142" s="8">
        <v>45779</v>
      </c>
      <c r="C142" s="2" t="s">
        <v>39</v>
      </c>
      <c r="D142" s="2" t="s">
        <v>45</v>
      </c>
      <c r="E142" s="2" t="s">
        <v>12</v>
      </c>
      <c r="F142" s="2" t="s">
        <v>56</v>
      </c>
      <c r="G142" s="2">
        <v>1</v>
      </c>
      <c r="H142" s="2">
        <v>1889.13</v>
      </c>
      <c r="I142" s="2">
        <v>0</v>
      </c>
      <c r="J142" s="2" t="s">
        <v>26</v>
      </c>
      <c r="K142">
        <f t="shared" si="2"/>
        <v>1889.13</v>
      </c>
      <c r="L142">
        <f>K142-(K142*I142/100)</f>
        <v>1889.13</v>
      </c>
    </row>
    <row r="143" spans="1:12" x14ac:dyDescent="0.25">
      <c r="A143" s="2">
        <v>10142</v>
      </c>
      <c r="B143" s="8">
        <v>45699</v>
      </c>
      <c r="C143" s="2" t="s">
        <v>42</v>
      </c>
      <c r="D143" s="2" t="s">
        <v>29</v>
      </c>
      <c r="E143" s="2" t="s">
        <v>34</v>
      </c>
      <c r="F143" s="2" t="s">
        <v>44</v>
      </c>
      <c r="G143" s="2">
        <v>6</v>
      </c>
      <c r="H143" s="2">
        <v>4043.27</v>
      </c>
      <c r="I143" s="2">
        <v>10</v>
      </c>
      <c r="J143" s="2" t="s">
        <v>14</v>
      </c>
      <c r="K143">
        <f t="shared" si="2"/>
        <v>24259.62</v>
      </c>
      <c r="L143">
        <f>K143-(K143*I143/100)</f>
        <v>21833.657999999999</v>
      </c>
    </row>
    <row r="144" spans="1:12" x14ac:dyDescent="0.25">
      <c r="A144" s="2">
        <v>10143</v>
      </c>
      <c r="B144" s="8">
        <v>45852</v>
      </c>
      <c r="C144" s="2" t="s">
        <v>42</v>
      </c>
      <c r="D144" s="2" t="s">
        <v>25</v>
      </c>
      <c r="E144" s="2" t="s">
        <v>12</v>
      </c>
      <c r="F144" s="2" t="s">
        <v>56</v>
      </c>
      <c r="G144" s="2">
        <v>17</v>
      </c>
      <c r="H144" s="2">
        <v>1611.1</v>
      </c>
      <c r="I144" s="2">
        <v>0</v>
      </c>
      <c r="J144" s="2" t="s">
        <v>14</v>
      </c>
      <c r="K144">
        <f t="shared" si="2"/>
        <v>27388.699999999997</v>
      </c>
      <c r="L144">
        <f>K144-(K144*I144/100)</f>
        <v>27388.699999999997</v>
      </c>
    </row>
    <row r="145" spans="1:12" x14ac:dyDescent="0.25">
      <c r="A145" s="2">
        <v>10144</v>
      </c>
      <c r="B145" s="8">
        <v>45767</v>
      </c>
      <c r="C145" s="2" t="s">
        <v>39</v>
      </c>
      <c r="D145" s="2" t="s">
        <v>47</v>
      </c>
      <c r="E145" s="2" t="s">
        <v>17</v>
      </c>
      <c r="F145" s="2" t="s">
        <v>55</v>
      </c>
      <c r="G145" s="2">
        <v>12</v>
      </c>
      <c r="H145" s="2">
        <v>1434.69</v>
      </c>
      <c r="I145" s="2">
        <v>15</v>
      </c>
      <c r="J145" s="2" t="s">
        <v>14</v>
      </c>
      <c r="K145">
        <f t="shared" si="2"/>
        <v>17216.28</v>
      </c>
      <c r="L145">
        <f>K145-(K145*I145/100)</f>
        <v>14633.838</v>
      </c>
    </row>
    <row r="146" spans="1:12" x14ac:dyDescent="0.25">
      <c r="A146" s="2">
        <v>10145</v>
      </c>
      <c r="B146" s="8">
        <v>45857</v>
      </c>
      <c r="C146" s="2" t="s">
        <v>10</v>
      </c>
      <c r="D146" s="2" t="s">
        <v>21</v>
      </c>
      <c r="E146" s="2" t="s">
        <v>34</v>
      </c>
      <c r="F146" s="2" t="s">
        <v>50</v>
      </c>
      <c r="G146" s="2">
        <v>17</v>
      </c>
      <c r="H146" s="2">
        <v>594.73</v>
      </c>
      <c r="I146" s="2">
        <v>0</v>
      </c>
      <c r="J146" s="2" t="s">
        <v>19</v>
      </c>
      <c r="K146">
        <f t="shared" si="2"/>
        <v>10110.41</v>
      </c>
      <c r="L146">
        <f>K146-(K146*I146/100)</f>
        <v>10110.41</v>
      </c>
    </row>
    <row r="147" spans="1:12" x14ac:dyDescent="0.25">
      <c r="A147" s="2">
        <v>10146</v>
      </c>
      <c r="B147" s="8">
        <v>45664</v>
      </c>
      <c r="C147" s="2" t="s">
        <v>20</v>
      </c>
      <c r="D147" s="2" t="s">
        <v>51</v>
      </c>
      <c r="E147" s="2" t="s">
        <v>12</v>
      </c>
      <c r="F147" s="2" t="s">
        <v>33</v>
      </c>
      <c r="G147" s="2">
        <v>10</v>
      </c>
      <c r="H147" s="2">
        <v>2346.62</v>
      </c>
      <c r="I147" s="2">
        <v>0</v>
      </c>
      <c r="J147" s="2" t="s">
        <v>26</v>
      </c>
      <c r="K147">
        <f t="shared" si="2"/>
        <v>23466.199999999997</v>
      </c>
      <c r="L147">
        <f>K147-(K147*I147/100)</f>
        <v>23466.199999999997</v>
      </c>
    </row>
    <row r="148" spans="1:12" x14ac:dyDescent="0.25">
      <c r="A148" s="2">
        <v>10147</v>
      </c>
      <c r="B148" s="8">
        <v>45732</v>
      </c>
      <c r="C148" s="2" t="s">
        <v>32</v>
      </c>
      <c r="D148" s="2" t="s">
        <v>37</v>
      </c>
      <c r="E148" s="2" t="s">
        <v>34</v>
      </c>
      <c r="F148" s="2" t="s">
        <v>35</v>
      </c>
      <c r="G148" s="2">
        <v>19</v>
      </c>
      <c r="H148" s="2">
        <v>2837.04</v>
      </c>
      <c r="I148" s="2">
        <v>10</v>
      </c>
      <c r="J148" s="2" t="s">
        <v>14</v>
      </c>
      <c r="K148">
        <f t="shared" si="2"/>
        <v>53903.76</v>
      </c>
      <c r="L148">
        <f>K148-(K148*I148/100)</f>
        <v>48513.384000000005</v>
      </c>
    </row>
    <row r="149" spans="1:12" x14ac:dyDescent="0.25">
      <c r="A149" s="2">
        <v>10148</v>
      </c>
      <c r="B149" s="8">
        <v>45900</v>
      </c>
      <c r="C149" s="2" t="s">
        <v>10</v>
      </c>
      <c r="D149" s="2" t="s">
        <v>51</v>
      </c>
      <c r="E149" s="2" t="s">
        <v>17</v>
      </c>
      <c r="F149" s="2" t="s">
        <v>36</v>
      </c>
      <c r="G149" s="2">
        <v>9</v>
      </c>
      <c r="H149" s="2">
        <v>3500.27</v>
      </c>
      <c r="I149" s="2">
        <v>15</v>
      </c>
      <c r="J149" s="2" t="s">
        <v>23</v>
      </c>
      <c r="K149">
        <f t="shared" si="2"/>
        <v>31502.43</v>
      </c>
      <c r="L149">
        <f>K149-(K149*I149/100)</f>
        <v>26777.065500000001</v>
      </c>
    </row>
    <row r="150" spans="1:12" x14ac:dyDescent="0.25">
      <c r="A150" s="2">
        <v>10149</v>
      </c>
      <c r="B150" s="8">
        <v>45693</v>
      </c>
      <c r="C150" s="2" t="s">
        <v>48</v>
      </c>
      <c r="D150" s="2" t="s">
        <v>52</v>
      </c>
      <c r="E150" s="2" t="s">
        <v>34</v>
      </c>
      <c r="F150" s="2" t="s">
        <v>38</v>
      </c>
      <c r="G150" s="2">
        <v>15</v>
      </c>
      <c r="H150" s="2">
        <v>4721.08</v>
      </c>
      <c r="I150" s="2">
        <v>10</v>
      </c>
      <c r="J150" s="2" t="s">
        <v>30</v>
      </c>
      <c r="K150">
        <f t="shared" si="2"/>
        <v>70816.2</v>
      </c>
      <c r="L150">
        <f>K150-(K150*I150/100)</f>
        <v>63734.579999999994</v>
      </c>
    </row>
    <row r="151" spans="1:12" x14ac:dyDescent="0.25">
      <c r="A151" s="2">
        <v>10150</v>
      </c>
      <c r="B151" s="8">
        <v>45774</v>
      </c>
      <c r="C151" s="2" t="s">
        <v>54</v>
      </c>
      <c r="D151" s="2" t="s">
        <v>45</v>
      </c>
      <c r="E151" s="2" t="s">
        <v>40</v>
      </c>
      <c r="F151" s="2" t="s">
        <v>53</v>
      </c>
      <c r="G151" s="2">
        <v>17</v>
      </c>
      <c r="H151" s="2">
        <v>4930.3999999999996</v>
      </c>
      <c r="I151" s="2">
        <v>0</v>
      </c>
      <c r="J151" s="2" t="s">
        <v>19</v>
      </c>
      <c r="K151">
        <f t="shared" si="2"/>
        <v>83816.799999999988</v>
      </c>
      <c r="L151">
        <f>K151-(K151*I151/100)</f>
        <v>83816.799999999988</v>
      </c>
    </row>
    <row r="152" spans="1:12" x14ac:dyDescent="0.25">
      <c r="A152" s="2">
        <v>10151</v>
      </c>
      <c r="B152" s="8">
        <v>45890</v>
      </c>
      <c r="C152" s="2" t="s">
        <v>10</v>
      </c>
      <c r="D152" s="2" t="s">
        <v>47</v>
      </c>
      <c r="E152" s="2" t="s">
        <v>34</v>
      </c>
      <c r="F152" s="2" t="s">
        <v>35</v>
      </c>
      <c r="G152" s="2">
        <v>14</v>
      </c>
      <c r="H152" s="2">
        <v>3753.86</v>
      </c>
      <c r="I152" s="2">
        <v>10</v>
      </c>
      <c r="J152" s="2" t="s">
        <v>14</v>
      </c>
      <c r="K152">
        <f t="shared" si="2"/>
        <v>52554.04</v>
      </c>
      <c r="L152">
        <f>K152-(K152*I152/100)</f>
        <v>47298.635999999999</v>
      </c>
    </row>
    <row r="153" spans="1:12" x14ac:dyDescent="0.25">
      <c r="A153" s="2">
        <v>10152</v>
      </c>
      <c r="B153" s="8">
        <v>45847</v>
      </c>
      <c r="C153" s="2" t="s">
        <v>32</v>
      </c>
      <c r="D153" s="2" t="s">
        <v>29</v>
      </c>
      <c r="E153" s="2" t="s">
        <v>12</v>
      </c>
      <c r="F153" s="2" t="s">
        <v>56</v>
      </c>
      <c r="G153" s="2">
        <v>1</v>
      </c>
      <c r="H153" s="2">
        <v>1116.24</v>
      </c>
      <c r="I153" s="2">
        <v>15</v>
      </c>
      <c r="J153" s="2" t="s">
        <v>30</v>
      </c>
      <c r="K153">
        <f t="shared" si="2"/>
        <v>1116.24</v>
      </c>
      <c r="L153">
        <f>K153-(K153*I153/100)</f>
        <v>948.80400000000009</v>
      </c>
    </row>
    <row r="154" spans="1:12" x14ac:dyDescent="0.25">
      <c r="A154" s="2">
        <v>10153</v>
      </c>
      <c r="B154" s="8">
        <v>45917</v>
      </c>
      <c r="C154" s="2" t="s">
        <v>39</v>
      </c>
      <c r="D154" s="2" t="s">
        <v>51</v>
      </c>
      <c r="E154" s="2" t="s">
        <v>34</v>
      </c>
      <c r="F154" s="2" t="s">
        <v>38</v>
      </c>
      <c r="G154" s="2">
        <v>11</v>
      </c>
      <c r="H154" s="2">
        <v>2584.33</v>
      </c>
      <c r="I154" s="2">
        <v>0</v>
      </c>
      <c r="J154" s="2" t="s">
        <v>30</v>
      </c>
      <c r="K154">
        <f t="shared" si="2"/>
        <v>28427.629999999997</v>
      </c>
      <c r="L154">
        <f>K154-(K154*I154/100)</f>
        <v>28427.629999999997</v>
      </c>
    </row>
    <row r="155" spans="1:12" x14ac:dyDescent="0.25">
      <c r="A155" s="2">
        <v>10154</v>
      </c>
      <c r="B155" s="8">
        <v>45931</v>
      </c>
      <c r="C155" s="2" t="s">
        <v>48</v>
      </c>
      <c r="D155" s="2" t="s">
        <v>29</v>
      </c>
      <c r="E155" s="2" t="s">
        <v>17</v>
      </c>
      <c r="F155" s="2" t="s">
        <v>55</v>
      </c>
      <c r="G155" s="2">
        <v>13</v>
      </c>
      <c r="H155" s="2">
        <v>3808.65</v>
      </c>
      <c r="I155" s="2">
        <v>15</v>
      </c>
      <c r="J155" s="2" t="s">
        <v>30</v>
      </c>
      <c r="K155">
        <f t="shared" si="2"/>
        <v>49512.450000000004</v>
      </c>
      <c r="L155">
        <f>K155-(K155*I155/100)</f>
        <v>42085.582500000004</v>
      </c>
    </row>
    <row r="156" spans="1:12" x14ac:dyDescent="0.25">
      <c r="A156" s="2">
        <v>10155</v>
      </c>
      <c r="B156" s="8">
        <v>45889</v>
      </c>
      <c r="C156" s="2" t="s">
        <v>24</v>
      </c>
      <c r="D156" s="2" t="s">
        <v>47</v>
      </c>
      <c r="E156" s="2" t="s">
        <v>17</v>
      </c>
      <c r="F156" s="2" t="s">
        <v>36</v>
      </c>
      <c r="G156" s="2">
        <v>11</v>
      </c>
      <c r="H156" s="2">
        <v>548.29</v>
      </c>
      <c r="I156" s="2">
        <v>5</v>
      </c>
      <c r="J156" s="2" t="s">
        <v>19</v>
      </c>
      <c r="K156">
        <f t="shared" si="2"/>
        <v>6031.19</v>
      </c>
      <c r="L156">
        <f>K156-(K156*I156/100)</f>
        <v>5729.6304999999993</v>
      </c>
    </row>
    <row r="157" spans="1:12" x14ac:dyDescent="0.25">
      <c r="A157" s="2">
        <v>10156</v>
      </c>
      <c r="B157" s="8">
        <v>45860</v>
      </c>
      <c r="C157" s="2" t="s">
        <v>54</v>
      </c>
      <c r="D157" s="2" t="s">
        <v>47</v>
      </c>
      <c r="E157" s="2" t="s">
        <v>17</v>
      </c>
      <c r="F157" s="2" t="s">
        <v>55</v>
      </c>
      <c r="G157" s="2">
        <v>15</v>
      </c>
      <c r="H157" s="2">
        <v>3132.66</v>
      </c>
      <c r="I157" s="2">
        <v>0</v>
      </c>
      <c r="J157" s="2" t="s">
        <v>19</v>
      </c>
      <c r="K157">
        <f t="shared" si="2"/>
        <v>46989.899999999994</v>
      </c>
      <c r="L157">
        <f>K157-(K157*I157/100)</f>
        <v>46989.899999999994</v>
      </c>
    </row>
    <row r="158" spans="1:12" x14ac:dyDescent="0.25">
      <c r="A158" s="2">
        <v>10157</v>
      </c>
      <c r="B158" s="8">
        <v>45857</v>
      </c>
      <c r="C158" s="2" t="s">
        <v>15</v>
      </c>
      <c r="D158" s="2" t="s">
        <v>21</v>
      </c>
      <c r="E158" s="2" t="s">
        <v>34</v>
      </c>
      <c r="F158" s="2" t="s">
        <v>50</v>
      </c>
      <c r="G158" s="2">
        <v>8</v>
      </c>
      <c r="H158" s="2">
        <v>3504.16</v>
      </c>
      <c r="I158" s="2">
        <v>15</v>
      </c>
      <c r="J158" s="2" t="s">
        <v>26</v>
      </c>
      <c r="K158">
        <f t="shared" si="2"/>
        <v>28033.279999999999</v>
      </c>
      <c r="L158">
        <f>K158-(K158*I158/100)</f>
        <v>23828.288</v>
      </c>
    </row>
    <row r="159" spans="1:12" x14ac:dyDescent="0.25">
      <c r="A159" s="2">
        <v>10158</v>
      </c>
      <c r="B159" s="8">
        <v>45716</v>
      </c>
      <c r="C159" s="2" t="s">
        <v>43</v>
      </c>
      <c r="D159" s="2" t="s">
        <v>29</v>
      </c>
      <c r="E159" s="2" t="s">
        <v>17</v>
      </c>
      <c r="F159" s="2" t="s">
        <v>28</v>
      </c>
      <c r="G159" s="2">
        <v>17</v>
      </c>
      <c r="H159" s="2">
        <v>2766.45</v>
      </c>
      <c r="I159" s="2">
        <v>5</v>
      </c>
      <c r="J159" s="2" t="s">
        <v>14</v>
      </c>
      <c r="K159">
        <f t="shared" si="2"/>
        <v>47029.649999999994</v>
      </c>
      <c r="L159">
        <f>K159-(K159*I159/100)</f>
        <v>44678.167499999996</v>
      </c>
    </row>
    <row r="160" spans="1:12" x14ac:dyDescent="0.25">
      <c r="A160" s="2">
        <v>10159</v>
      </c>
      <c r="B160" s="8">
        <v>45687</v>
      </c>
      <c r="C160" s="2" t="s">
        <v>43</v>
      </c>
      <c r="D160" s="2" t="s">
        <v>37</v>
      </c>
      <c r="E160" s="2" t="s">
        <v>34</v>
      </c>
      <c r="F160" s="2" t="s">
        <v>50</v>
      </c>
      <c r="G160" s="2">
        <v>16</v>
      </c>
      <c r="H160" s="2">
        <v>3513.68</v>
      </c>
      <c r="I160" s="2">
        <v>10</v>
      </c>
      <c r="J160" s="2" t="s">
        <v>14</v>
      </c>
      <c r="K160">
        <f t="shared" si="2"/>
        <v>56218.879999999997</v>
      </c>
      <c r="L160">
        <f>K160-(K160*I160/100)</f>
        <v>50596.991999999998</v>
      </c>
    </row>
    <row r="161" spans="1:12" x14ac:dyDescent="0.25">
      <c r="A161" s="2">
        <v>10160</v>
      </c>
      <c r="B161" s="8">
        <v>45904</v>
      </c>
      <c r="C161" s="2" t="s">
        <v>15</v>
      </c>
      <c r="D161" s="2" t="s">
        <v>21</v>
      </c>
      <c r="E161" s="2" t="s">
        <v>17</v>
      </c>
      <c r="F161" s="2" t="s">
        <v>28</v>
      </c>
      <c r="G161" s="2">
        <v>1</v>
      </c>
      <c r="H161" s="2">
        <v>2743.23</v>
      </c>
      <c r="I161" s="2">
        <v>0</v>
      </c>
      <c r="J161" s="2" t="s">
        <v>30</v>
      </c>
      <c r="K161">
        <f t="shared" si="2"/>
        <v>2743.23</v>
      </c>
      <c r="L161">
        <f>K161-(K161*I161/100)</f>
        <v>2743.23</v>
      </c>
    </row>
    <row r="162" spans="1:12" x14ac:dyDescent="0.25">
      <c r="A162" s="2">
        <v>10161</v>
      </c>
      <c r="B162" s="8">
        <v>46008</v>
      </c>
      <c r="C162" s="2" t="s">
        <v>42</v>
      </c>
      <c r="D162" s="2" t="s">
        <v>45</v>
      </c>
      <c r="E162" s="2" t="s">
        <v>17</v>
      </c>
      <c r="F162" s="2" t="s">
        <v>18</v>
      </c>
      <c r="G162" s="2">
        <v>7</v>
      </c>
      <c r="H162" s="2">
        <v>1526.59</v>
      </c>
      <c r="I162" s="2">
        <v>10</v>
      </c>
      <c r="J162" s="2" t="s">
        <v>14</v>
      </c>
      <c r="K162">
        <f t="shared" si="2"/>
        <v>10686.13</v>
      </c>
      <c r="L162">
        <f>K162-(K162*I162/100)</f>
        <v>9617.5169999999998</v>
      </c>
    </row>
    <row r="163" spans="1:12" x14ac:dyDescent="0.25">
      <c r="A163" s="2">
        <v>10162</v>
      </c>
      <c r="B163" s="8">
        <v>45818</v>
      </c>
      <c r="C163" s="2" t="s">
        <v>39</v>
      </c>
      <c r="D163" s="2" t="s">
        <v>45</v>
      </c>
      <c r="E163" s="2" t="s">
        <v>17</v>
      </c>
      <c r="F163" s="2" t="s">
        <v>18</v>
      </c>
      <c r="G163" s="2">
        <v>13</v>
      </c>
      <c r="H163" s="2">
        <v>2409.2600000000002</v>
      </c>
      <c r="I163" s="2">
        <v>5</v>
      </c>
      <c r="J163" s="2" t="s">
        <v>26</v>
      </c>
      <c r="K163">
        <f t="shared" si="2"/>
        <v>31320.380000000005</v>
      </c>
      <c r="L163">
        <f>K163-(K163*I163/100)</f>
        <v>29754.361000000004</v>
      </c>
    </row>
    <row r="164" spans="1:12" x14ac:dyDescent="0.25">
      <c r="A164" s="2">
        <v>10163</v>
      </c>
      <c r="B164" s="8">
        <v>45957</v>
      </c>
      <c r="C164" s="2" t="s">
        <v>24</v>
      </c>
      <c r="D164" s="2" t="s">
        <v>29</v>
      </c>
      <c r="E164" s="2" t="s">
        <v>40</v>
      </c>
      <c r="F164" s="2" t="s">
        <v>49</v>
      </c>
      <c r="G164" s="2">
        <v>12</v>
      </c>
      <c r="H164" s="2">
        <v>532.26</v>
      </c>
      <c r="I164" s="2">
        <v>20</v>
      </c>
      <c r="J164" s="2" t="s">
        <v>26</v>
      </c>
      <c r="K164">
        <f t="shared" si="2"/>
        <v>6387.12</v>
      </c>
      <c r="L164">
        <f>K164-(K164*I164/100)</f>
        <v>5109.6959999999999</v>
      </c>
    </row>
    <row r="165" spans="1:12" x14ac:dyDescent="0.25">
      <c r="A165" s="2">
        <v>10164</v>
      </c>
      <c r="B165" s="8">
        <v>45790</v>
      </c>
      <c r="C165" s="2" t="s">
        <v>27</v>
      </c>
      <c r="D165" s="2" t="s">
        <v>21</v>
      </c>
      <c r="E165" s="2" t="s">
        <v>34</v>
      </c>
      <c r="F165" s="2" t="s">
        <v>44</v>
      </c>
      <c r="G165" s="2">
        <v>3</v>
      </c>
      <c r="H165" s="2">
        <v>4959.3900000000003</v>
      </c>
      <c r="I165" s="2">
        <v>5</v>
      </c>
      <c r="J165" s="2" t="s">
        <v>14</v>
      </c>
      <c r="K165">
        <f t="shared" si="2"/>
        <v>14878.170000000002</v>
      </c>
      <c r="L165">
        <f>K165-(K165*I165/100)</f>
        <v>14134.261500000002</v>
      </c>
    </row>
    <row r="166" spans="1:12" x14ac:dyDescent="0.25">
      <c r="A166" s="2">
        <v>10165</v>
      </c>
      <c r="B166" s="8">
        <v>45713</v>
      </c>
      <c r="C166" s="2" t="s">
        <v>27</v>
      </c>
      <c r="D166" s="2" t="s">
        <v>52</v>
      </c>
      <c r="E166" s="2" t="s">
        <v>17</v>
      </c>
      <c r="F166" s="2" t="s">
        <v>55</v>
      </c>
      <c r="G166" s="2">
        <v>1</v>
      </c>
      <c r="H166" s="2">
        <v>612.88</v>
      </c>
      <c r="I166" s="2">
        <v>20</v>
      </c>
      <c r="J166" s="2" t="s">
        <v>26</v>
      </c>
      <c r="K166">
        <f t="shared" si="2"/>
        <v>612.88</v>
      </c>
      <c r="L166">
        <f>K166-(K166*I166/100)</f>
        <v>490.30399999999997</v>
      </c>
    </row>
    <row r="167" spans="1:12" x14ac:dyDescent="0.25">
      <c r="A167" s="2">
        <v>10166</v>
      </c>
      <c r="B167" s="8">
        <v>45706</v>
      </c>
      <c r="C167" s="2" t="s">
        <v>27</v>
      </c>
      <c r="D167" s="2" t="s">
        <v>11</v>
      </c>
      <c r="E167" s="2" t="s">
        <v>17</v>
      </c>
      <c r="F167" s="2" t="s">
        <v>55</v>
      </c>
      <c r="G167" s="2">
        <v>12</v>
      </c>
      <c r="H167" s="2">
        <v>2740.53</v>
      </c>
      <c r="I167" s="2">
        <v>10</v>
      </c>
      <c r="J167" s="2" t="s">
        <v>23</v>
      </c>
      <c r="K167">
        <f t="shared" si="2"/>
        <v>32886.36</v>
      </c>
      <c r="L167">
        <f>K167-(K167*I167/100)</f>
        <v>29597.724000000002</v>
      </c>
    </row>
    <row r="168" spans="1:12" x14ac:dyDescent="0.25">
      <c r="A168" s="2">
        <v>10167</v>
      </c>
      <c r="B168" s="8">
        <v>45874</v>
      </c>
      <c r="C168" s="2" t="s">
        <v>48</v>
      </c>
      <c r="D168" s="2" t="s">
        <v>37</v>
      </c>
      <c r="E168" s="2" t="s">
        <v>17</v>
      </c>
      <c r="F168" s="2" t="s">
        <v>28</v>
      </c>
      <c r="G168" s="2">
        <v>15</v>
      </c>
      <c r="H168" s="2">
        <v>2511.58</v>
      </c>
      <c r="I168" s="2">
        <v>5</v>
      </c>
      <c r="J168" s="2" t="s">
        <v>26</v>
      </c>
      <c r="K168">
        <f t="shared" si="2"/>
        <v>37673.699999999997</v>
      </c>
      <c r="L168">
        <f>K168-(K168*I168/100)</f>
        <v>35790.014999999999</v>
      </c>
    </row>
    <row r="169" spans="1:12" x14ac:dyDescent="0.25">
      <c r="A169" s="2">
        <v>10168</v>
      </c>
      <c r="B169" s="8">
        <v>45666</v>
      </c>
      <c r="C169" s="2" t="s">
        <v>27</v>
      </c>
      <c r="D169" s="2" t="s">
        <v>25</v>
      </c>
      <c r="E169" s="2" t="s">
        <v>12</v>
      </c>
      <c r="F169" s="2" t="s">
        <v>33</v>
      </c>
      <c r="G169" s="2">
        <v>19</v>
      </c>
      <c r="H169" s="2">
        <v>4924.0600000000004</v>
      </c>
      <c r="I169" s="2">
        <v>15</v>
      </c>
      <c r="J169" s="2" t="s">
        <v>19</v>
      </c>
      <c r="K169">
        <f t="shared" si="2"/>
        <v>93557.140000000014</v>
      </c>
      <c r="L169">
        <f>K169-(K169*I169/100)</f>
        <v>79523.569000000018</v>
      </c>
    </row>
    <row r="170" spans="1:12" x14ac:dyDescent="0.25">
      <c r="A170" s="2">
        <v>10169</v>
      </c>
      <c r="B170" s="8">
        <v>45927</v>
      </c>
      <c r="C170" s="2" t="s">
        <v>42</v>
      </c>
      <c r="D170" s="2" t="s">
        <v>21</v>
      </c>
      <c r="E170" s="2" t="s">
        <v>17</v>
      </c>
      <c r="F170" s="2" t="s">
        <v>55</v>
      </c>
      <c r="G170" s="2">
        <v>2</v>
      </c>
      <c r="H170" s="2">
        <v>1414.24</v>
      </c>
      <c r="I170" s="2">
        <v>20</v>
      </c>
      <c r="J170" s="2" t="s">
        <v>26</v>
      </c>
      <c r="K170">
        <f t="shared" si="2"/>
        <v>2828.48</v>
      </c>
      <c r="L170">
        <f>K170-(K170*I170/100)</f>
        <v>2262.7840000000001</v>
      </c>
    </row>
    <row r="171" spans="1:12" x14ac:dyDescent="0.25">
      <c r="A171" s="2">
        <v>10170</v>
      </c>
      <c r="B171" s="8">
        <v>45980</v>
      </c>
      <c r="C171" s="2" t="s">
        <v>27</v>
      </c>
      <c r="D171" s="2" t="s">
        <v>29</v>
      </c>
      <c r="E171" s="2" t="s">
        <v>40</v>
      </c>
      <c r="F171" s="2" t="s">
        <v>41</v>
      </c>
      <c r="G171" s="2">
        <v>14</v>
      </c>
      <c r="H171" s="2">
        <v>3779.62</v>
      </c>
      <c r="I171" s="2">
        <v>5</v>
      </c>
      <c r="J171" s="2" t="s">
        <v>30</v>
      </c>
      <c r="K171">
        <f t="shared" si="2"/>
        <v>52914.68</v>
      </c>
      <c r="L171">
        <f>K171-(K171*I171/100)</f>
        <v>50268.945999999996</v>
      </c>
    </row>
    <row r="172" spans="1:12" x14ac:dyDescent="0.25">
      <c r="A172" s="2">
        <v>10171</v>
      </c>
      <c r="B172" s="8">
        <v>45679</v>
      </c>
      <c r="C172" s="2" t="s">
        <v>20</v>
      </c>
      <c r="D172" s="2" t="s">
        <v>21</v>
      </c>
      <c r="E172" s="2" t="s">
        <v>34</v>
      </c>
      <c r="F172" s="2" t="s">
        <v>50</v>
      </c>
      <c r="G172" s="2">
        <v>1</v>
      </c>
      <c r="H172" s="2">
        <v>1052.05</v>
      </c>
      <c r="I172" s="2">
        <v>10</v>
      </c>
      <c r="J172" s="2" t="s">
        <v>23</v>
      </c>
      <c r="K172">
        <f t="shared" si="2"/>
        <v>1052.05</v>
      </c>
      <c r="L172">
        <f>K172-(K172*I172/100)</f>
        <v>946.84499999999991</v>
      </c>
    </row>
    <row r="173" spans="1:12" x14ac:dyDescent="0.25">
      <c r="A173" s="2">
        <v>10172</v>
      </c>
      <c r="B173" s="8">
        <v>45820</v>
      </c>
      <c r="C173" s="2" t="s">
        <v>15</v>
      </c>
      <c r="D173" s="2" t="s">
        <v>52</v>
      </c>
      <c r="E173" s="2" t="s">
        <v>12</v>
      </c>
      <c r="F173" s="2" t="s">
        <v>56</v>
      </c>
      <c r="G173" s="2">
        <v>7</v>
      </c>
      <c r="H173" s="2">
        <v>2995.78</v>
      </c>
      <c r="I173" s="2">
        <v>20</v>
      </c>
      <c r="J173" s="2" t="s">
        <v>26</v>
      </c>
      <c r="K173">
        <f t="shared" si="2"/>
        <v>20970.460000000003</v>
      </c>
      <c r="L173">
        <f>K173-(K173*I173/100)</f>
        <v>16776.368000000002</v>
      </c>
    </row>
    <row r="174" spans="1:12" x14ac:dyDescent="0.25">
      <c r="A174" s="2">
        <v>10173</v>
      </c>
      <c r="B174" s="8">
        <v>45832</v>
      </c>
      <c r="C174" s="2" t="s">
        <v>32</v>
      </c>
      <c r="D174" s="2" t="s">
        <v>45</v>
      </c>
      <c r="E174" s="2" t="s">
        <v>34</v>
      </c>
      <c r="F174" s="2" t="s">
        <v>50</v>
      </c>
      <c r="G174" s="2">
        <v>17</v>
      </c>
      <c r="H174" s="2">
        <v>669.79</v>
      </c>
      <c r="I174" s="2">
        <v>15</v>
      </c>
      <c r="J174" s="2" t="s">
        <v>19</v>
      </c>
      <c r="K174">
        <f t="shared" si="2"/>
        <v>11386.43</v>
      </c>
      <c r="L174">
        <f>K174-(K174*I174/100)</f>
        <v>9678.4655000000002</v>
      </c>
    </row>
    <row r="175" spans="1:12" x14ac:dyDescent="0.25">
      <c r="A175" s="2">
        <v>10174</v>
      </c>
      <c r="B175" s="8">
        <v>46013</v>
      </c>
      <c r="C175" s="2" t="s">
        <v>27</v>
      </c>
      <c r="D175" s="2" t="s">
        <v>45</v>
      </c>
      <c r="E175" s="2" t="s">
        <v>12</v>
      </c>
      <c r="F175" s="2" t="s">
        <v>22</v>
      </c>
      <c r="G175" s="2">
        <v>1</v>
      </c>
      <c r="H175" s="2">
        <v>448.66</v>
      </c>
      <c r="I175" s="2">
        <v>20</v>
      </c>
      <c r="J175" s="2" t="s">
        <v>14</v>
      </c>
      <c r="K175">
        <f t="shared" si="2"/>
        <v>448.66</v>
      </c>
      <c r="L175">
        <f>K175-(K175*I175/100)</f>
        <v>358.928</v>
      </c>
    </row>
    <row r="176" spans="1:12" x14ac:dyDescent="0.25">
      <c r="A176" s="2">
        <v>10175</v>
      </c>
      <c r="B176" s="8">
        <v>45987</v>
      </c>
      <c r="C176" s="2" t="s">
        <v>32</v>
      </c>
      <c r="D176" s="2" t="s">
        <v>29</v>
      </c>
      <c r="E176" s="2" t="s">
        <v>34</v>
      </c>
      <c r="F176" s="2" t="s">
        <v>50</v>
      </c>
      <c r="G176" s="2">
        <v>11</v>
      </c>
      <c r="H176" s="2">
        <v>4304.08</v>
      </c>
      <c r="I176" s="2">
        <v>20</v>
      </c>
      <c r="J176" s="2" t="s">
        <v>19</v>
      </c>
      <c r="K176">
        <f t="shared" si="2"/>
        <v>47344.88</v>
      </c>
      <c r="L176">
        <f>K176-(K176*I176/100)</f>
        <v>37875.903999999995</v>
      </c>
    </row>
    <row r="177" spans="1:12" x14ac:dyDescent="0.25">
      <c r="A177" s="2">
        <v>10176</v>
      </c>
      <c r="B177" s="8">
        <v>45715</v>
      </c>
      <c r="C177" s="2" t="s">
        <v>24</v>
      </c>
      <c r="D177" s="2" t="s">
        <v>11</v>
      </c>
      <c r="E177" s="2" t="s">
        <v>12</v>
      </c>
      <c r="F177" s="2" t="s">
        <v>56</v>
      </c>
      <c r="G177" s="2">
        <v>13</v>
      </c>
      <c r="H177" s="2">
        <v>4451.5200000000004</v>
      </c>
      <c r="I177" s="2">
        <v>0</v>
      </c>
      <c r="J177" s="2" t="s">
        <v>14</v>
      </c>
      <c r="K177">
        <f t="shared" si="2"/>
        <v>57869.760000000009</v>
      </c>
      <c r="L177">
        <f>K177-(K177*I177/100)</f>
        <v>57869.760000000009</v>
      </c>
    </row>
    <row r="178" spans="1:12" x14ac:dyDescent="0.25">
      <c r="A178" s="2">
        <v>10177</v>
      </c>
      <c r="B178" s="8">
        <v>45684</v>
      </c>
      <c r="C178" s="2" t="s">
        <v>32</v>
      </c>
      <c r="D178" s="2" t="s">
        <v>16</v>
      </c>
      <c r="E178" s="2" t="s">
        <v>12</v>
      </c>
      <c r="F178" s="2" t="s">
        <v>22</v>
      </c>
      <c r="G178" s="2">
        <v>16</v>
      </c>
      <c r="H178" s="2">
        <v>4012.13</v>
      </c>
      <c r="I178" s="2">
        <v>20</v>
      </c>
      <c r="J178" s="2" t="s">
        <v>14</v>
      </c>
      <c r="K178">
        <f t="shared" si="2"/>
        <v>64194.080000000002</v>
      </c>
      <c r="L178">
        <f>K178-(K178*I178/100)</f>
        <v>51355.264000000003</v>
      </c>
    </row>
    <row r="179" spans="1:12" x14ac:dyDescent="0.25">
      <c r="A179" s="2">
        <v>10178</v>
      </c>
      <c r="B179" s="8">
        <v>45846</v>
      </c>
      <c r="C179" s="2" t="s">
        <v>15</v>
      </c>
      <c r="D179" s="2" t="s">
        <v>37</v>
      </c>
      <c r="E179" s="2" t="s">
        <v>34</v>
      </c>
      <c r="F179" s="2" t="s">
        <v>44</v>
      </c>
      <c r="G179" s="2">
        <v>14</v>
      </c>
      <c r="H179" s="2">
        <v>3031.07</v>
      </c>
      <c r="I179" s="2">
        <v>20</v>
      </c>
      <c r="J179" s="2" t="s">
        <v>14</v>
      </c>
      <c r="K179">
        <f t="shared" si="2"/>
        <v>42434.98</v>
      </c>
      <c r="L179">
        <f>K179-(K179*I179/100)</f>
        <v>33947.984000000004</v>
      </c>
    </row>
    <row r="180" spans="1:12" x14ac:dyDescent="0.25">
      <c r="A180" s="2">
        <v>10179</v>
      </c>
      <c r="B180" s="8">
        <v>45679</v>
      </c>
      <c r="C180" s="2" t="s">
        <v>24</v>
      </c>
      <c r="D180" s="2" t="s">
        <v>47</v>
      </c>
      <c r="E180" s="2" t="s">
        <v>17</v>
      </c>
      <c r="F180" s="2" t="s">
        <v>36</v>
      </c>
      <c r="G180" s="2">
        <v>5</v>
      </c>
      <c r="H180" s="2">
        <v>3646.09</v>
      </c>
      <c r="I180" s="2">
        <v>10</v>
      </c>
      <c r="J180" s="2" t="s">
        <v>19</v>
      </c>
      <c r="K180">
        <f t="shared" si="2"/>
        <v>18230.45</v>
      </c>
      <c r="L180">
        <f>K180-(K180*I180/100)</f>
        <v>16407.404999999999</v>
      </c>
    </row>
    <row r="181" spans="1:12" x14ac:dyDescent="0.25">
      <c r="A181" s="2">
        <v>10180</v>
      </c>
      <c r="B181" s="8">
        <v>45906</v>
      </c>
      <c r="C181" s="2" t="s">
        <v>43</v>
      </c>
      <c r="D181" s="2" t="s">
        <v>47</v>
      </c>
      <c r="E181" s="2" t="s">
        <v>34</v>
      </c>
      <c r="F181" s="2" t="s">
        <v>35</v>
      </c>
      <c r="G181" s="2">
        <v>15</v>
      </c>
      <c r="H181" s="2">
        <v>2939.8</v>
      </c>
      <c r="I181" s="2">
        <v>10</v>
      </c>
      <c r="J181" s="2" t="s">
        <v>19</v>
      </c>
      <c r="K181">
        <f t="shared" si="2"/>
        <v>44097</v>
      </c>
      <c r="L181">
        <f>K181-(K181*I181/100)</f>
        <v>39687.300000000003</v>
      </c>
    </row>
    <row r="182" spans="1:12" x14ac:dyDescent="0.25">
      <c r="A182" s="2">
        <v>10181</v>
      </c>
      <c r="B182" s="8">
        <v>45900</v>
      </c>
      <c r="C182" s="2" t="s">
        <v>10</v>
      </c>
      <c r="D182" s="2" t="s">
        <v>47</v>
      </c>
      <c r="E182" s="2" t="s">
        <v>12</v>
      </c>
      <c r="F182" s="2" t="s">
        <v>33</v>
      </c>
      <c r="G182" s="2">
        <v>7</v>
      </c>
      <c r="H182" s="2">
        <v>3232.3</v>
      </c>
      <c r="I182" s="2">
        <v>20</v>
      </c>
      <c r="J182" s="2" t="s">
        <v>19</v>
      </c>
      <c r="K182">
        <f t="shared" si="2"/>
        <v>22626.100000000002</v>
      </c>
      <c r="L182">
        <f>K182-(K182*I182/100)</f>
        <v>18100.88</v>
      </c>
    </row>
    <row r="183" spans="1:12" x14ac:dyDescent="0.25">
      <c r="A183" s="2">
        <v>10182</v>
      </c>
      <c r="B183" s="8">
        <v>45970</v>
      </c>
      <c r="C183" s="2" t="s">
        <v>48</v>
      </c>
      <c r="D183" s="2" t="s">
        <v>45</v>
      </c>
      <c r="E183" s="2" t="s">
        <v>12</v>
      </c>
      <c r="F183" s="2" t="s">
        <v>22</v>
      </c>
      <c r="G183" s="2">
        <v>8</v>
      </c>
      <c r="H183" s="2">
        <v>4640.58</v>
      </c>
      <c r="I183" s="2">
        <v>0</v>
      </c>
      <c r="J183" s="2" t="s">
        <v>30</v>
      </c>
      <c r="K183">
        <f t="shared" si="2"/>
        <v>37124.639999999999</v>
      </c>
      <c r="L183">
        <f>K183-(K183*I183/100)</f>
        <v>37124.639999999999</v>
      </c>
    </row>
    <row r="184" spans="1:12" x14ac:dyDescent="0.25">
      <c r="A184" s="2">
        <v>10183</v>
      </c>
      <c r="B184" s="8">
        <v>45669</v>
      </c>
      <c r="C184" s="2" t="s">
        <v>54</v>
      </c>
      <c r="D184" s="2" t="s">
        <v>21</v>
      </c>
      <c r="E184" s="2" t="s">
        <v>17</v>
      </c>
      <c r="F184" s="2" t="s">
        <v>36</v>
      </c>
      <c r="G184" s="2">
        <v>17</v>
      </c>
      <c r="H184" s="2">
        <v>3377.86</v>
      </c>
      <c r="I184" s="2">
        <v>0</v>
      </c>
      <c r="J184" s="2" t="s">
        <v>19</v>
      </c>
      <c r="K184">
        <f t="shared" si="2"/>
        <v>57423.62</v>
      </c>
      <c r="L184">
        <f>K184-(K184*I184/100)</f>
        <v>57423.62</v>
      </c>
    </row>
    <row r="185" spans="1:12" x14ac:dyDescent="0.25">
      <c r="A185" s="2">
        <v>10184</v>
      </c>
      <c r="B185" s="8">
        <v>45698</v>
      </c>
      <c r="C185" s="2" t="s">
        <v>31</v>
      </c>
      <c r="D185" s="2" t="s">
        <v>37</v>
      </c>
      <c r="E185" s="2" t="s">
        <v>12</v>
      </c>
      <c r="F185" s="2" t="s">
        <v>56</v>
      </c>
      <c r="G185" s="2">
        <v>6</v>
      </c>
      <c r="H185" s="2">
        <v>2944.03</v>
      </c>
      <c r="I185" s="2">
        <v>0</v>
      </c>
      <c r="J185" s="2" t="s">
        <v>14</v>
      </c>
      <c r="K185">
        <f t="shared" si="2"/>
        <v>17664.18</v>
      </c>
      <c r="L185">
        <f>K185-(K185*I185/100)</f>
        <v>17664.18</v>
      </c>
    </row>
    <row r="186" spans="1:12" x14ac:dyDescent="0.25">
      <c r="A186" s="2">
        <v>10185</v>
      </c>
      <c r="B186" s="8">
        <v>45831</v>
      </c>
      <c r="C186" s="2" t="s">
        <v>24</v>
      </c>
      <c r="D186" s="2" t="s">
        <v>16</v>
      </c>
      <c r="E186" s="2" t="s">
        <v>17</v>
      </c>
      <c r="F186" s="2" t="s">
        <v>55</v>
      </c>
      <c r="G186" s="2">
        <v>9</v>
      </c>
      <c r="H186" s="2">
        <v>4822.47</v>
      </c>
      <c r="I186" s="2">
        <v>20</v>
      </c>
      <c r="J186" s="2" t="s">
        <v>14</v>
      </c>
      <c r="K186">
        <f t="shared" si="2"/>
        <v>43402.23</v>
      </c>
      <c r="L186">
        <f>K186-(K186*I186/100)</f>
        <v>34721.784</v>
      </c>
    </row>
    <row r="187" spans="1:12" x14ac:dyDescent="0.25">
      <c r="A187" s="2">
        <v>10186</v>
      </c>
      <c r="B187" s="8">
        <v>45772</v>
      </c>
      <c r="C187" s="2" t="s">
        <v>43</v>
      </c>
      <c r="D187" s="2" t="s">
        <v>16</v>
      </c>
      <c r="E187" s="2" t="s">
        <v>34</v>
      </c>
      <c r="F187" s="2" t="s">
        <v>44</v>
      </c>
      <c r="G187" s="2">
        <v>6</v>
      </c>
      <c r="H187" s="2">
        <v>3038.31</v>
      </c>
      <c r="I187" s="2">
        <v>0</v>
      </c>
      <c r="J187" s="2" t="s">
        <v>23</v>
      </c>
      <c r="K187">
        <f t="shared" si="2"/>
        <v>18229.86</v>
      </c>
      <c r="L187">
        <f>K187-(K187*I187/100)</f>
        <v>18229.86</v>
      </c>
    </row>
    <row r="188" spans="1:12" x14ac:dyDescent="0.25">
      <c r="A188" s="2">
        <v>10187</v>
      </c>
      <c r="B188" s="8">
        <v>45741</v>
      </c>
      <c r="C188" s="2" t="s">
        <v>15</v>
      </c>
      <c r="D188" s="2" t="s">
        <v>29</v>
      </c>
      <c r="E188" s="2" t="s">
        <v>12</v>
      </c>
      <c r="F188" s="2" t="s">
        <v>22</v>
      </c>
      <c r="G188" s="2">
        <v>15</v>
      </c>
      <c r="H188" s="2">
        <v>3227.31</v>
      </c>
      <c r="I188" s="2">
        <v>20</v>
      </c>
      <c r="J188" s="2" t="s">
        <v>23</v>
      </c>
      <c r="K188">
        <f t="shared" si="2"/>
        <v>48409.65</v>
      </c>
      <c r="L188">
        <f>K188-(K188*I188/100)</f>
        <v>38727.72</v>
      </c>
    </row>
    <row r="189" spans="1:12" x14ac:dyDescent="0.25">
      <c r="A189" s="2">
        <v>10188</v>
      </c>
      <c r="B189" s="8">
        <v>45962</v>
      </c>
      <c r="C189" s="2" t="s">
        <v>15</v>
      </c>
      <c r="D189" s="2" t="s">
        <v>52</v>
      </c>
      <c r="E189" s="2" t="s">
        <v>12</v>
      </c>
      <c r="F189" s="2" t="s">
        <v>33</v>
      </c>
      <c r="G189" s="2">
        <v>20</v>
      </c>
      <c r="H189" s="2">
        <v>2721.54</v>
      </c>
      <c r="I189" s="2">
        <v>15</v>
      </c>
      <c r="J189" s="2" t="s">
        <v>19</v>
      </c>
      <c r="K189">
        <f t="shared" si="2"/>
        <v>54430.8</v>
      </c>
      <c r="L189">
        <f>K189-(K189*I189/100)</f>
        <v>46266.18</v>
      </c>
    </row>
    <row r="190" spans="1:12" x14ac:dyDescent="0.25">
      <c r="A190" s="2">
        <v>10189</v>
      </c>
      <c r="B190" s="8">
        <v>45885</v>
      </c>
      <c r="C190" s="2" t="s">
        <v>31</v>
      </c>
      <c r="D190" s="2" t="s">
        <v>51</v>
      </c>
      <c r="E190" s="2" t="s">
        <v>17</v>
      </c>
      <c r="F190" s="2" t="s">
        <v>55</v>
      </c>
      <c r="G190" s="2">
        <v>11</v>
      </c>
      <c r="H190" s="2">
        <v>4315.3</v>
      </c>
      <c r="I190" s="2">
        <v>20</v>
      </c>
      <c r="J190" s="2" t="s">
        <v>23</v>
      </c>
      <c r="K190">
        <f t="shared" si="2"/>
        <v>47468.3</v>
      </c>
      <c r="L190">
        <f>K190-(K190*I190/100)</f>
        <v>37974.639999999999</v>
      </c>
    </row>
    <row r="191" spans="1:12" x14ac:dyDescent="0.25">
      <c r="A191" s="2">
        <v>10190</v>
      </c>
      <c r="B191" s="8">
        <v>45820</v>
      </c>
      <c r="C191" s="2" t="s">
        <v>20</v>
      </c>
      <c r="D191" s="2" t="s">
        <v>52</v>
      </c>
      <c r="E191" s="2" t="s">
        <v>34</v>
      </c>
      <c r="F191" s="2" t="s">
        <v>38</v>
      </c>
      <c r="G191" s="2">
        <v>20</v>
      </c>
      <c r="H191" s="2">
        <v>4108.34</v>
      </c>
      <c r="I191" s="2">
        <v>15</v>
      </c>
      <c r="J191" s="2" t="s">
        <v>23</v>
      </c>
      <c r="K191">
        <f t="shared" si="2"/>
        <v>82166.8</v>
      </c>
      <c r="L191">
        <f>K191-(K191*I191/100)</f>
        <v>69841.78</v>
      </c>
    </row>
    <row r="192" spans="1:12" x14ac:dyDescent="0.25">
      <c r="A192" s="2">
        <v>10191</v>
      </c>
      <c r="B192" s="8">
        <v>46018</v>
      </c>
      <c r="C192" s="2" t="s">
        <v>20</v>
      </c>
      <c r="D192" s="2" t="s">
        <v>37</v>
      </c>
      <c r="E192" s="2" t="s">
        <v>17</v>
      </c>
      <c r="F192" s="2" t="s">
        <v>28</v>
      </c>
      <c r="G192" s="2">
        <v>19</v>
      </c>
      <c r="H192" s="2">
        <v>4020.63</v>
      </c>
      <c r="I192" s="2">
        <v>0</v>
      </c>
      <c r="J192" s="2" t="s">
        <v>30</v>
      </c>
      <c r="K192">
        <f t="shared" si="2"/>
        <v>76391.97</v>
      </c>
      <c r="L192">
        <f>K192-(K192*I192/100)</f>
        <v>76391.97</v>
      </c>
    </row>
    <row r="193" spans="1:12" x14ac:dyDescent="0.25">
      <c r="A193" s="2">
        <v>10192</v>
      </c>
      <c r="B193" s="8">
        <v>45759</v>
      </c>
      <c r="C193" s="2" t="s">
        <v>10</v>
      </c>
      <c r="D193" s="2" t="s">
        <v>29</v>
      </c>
      <c r="E193" s="2" t="s">
        <v>34</v>
      </c>
      <c r="F193" s="2" t="s">
        <v>38</v>
      </c>
      <c r="G193" s="2">
        <v>8</v>
      </c>
      <c r="H193" s="2">
        <v>1840.38</v>
      </c>
      <c r="I193" s="2">
        <v>20</v>
      </c>
      <c r="J193" s="2" t="s">
        <v>30</v>
      </c>
      <c r="K193">
        <f t="shared" si="2"/>
        <v>14723.04</v>
      </c>
      <c r="L193">
        <f>K193-(K193*I193/100)</f>
        <v>11778.432000000001</v>
      </c>
    </row>
    <row r="194" spans="1:12" x14ac:dyDescent="0.25">
      <c r="A194" s="2">
        <v>10193</v>
      </c>
      <c r="B194" s="8">
        <v>45852</v>
      </c>
      <c r="C194" s="2" t="s">
        <v>10</v>
      </c>
      <c r="D194" s="2" t="s">
        <v>29</v>
      </c>
      <c r="E194" s="2" t="s">
        <v>17</v>
      </c>
      <c r="F194" s="2" t="s">
        <v>55</v>
      </c>
      <c r="G194" s="2">
        <v>12</v>
      </c>
      <c r="H194" s="2">
        <v>3663.89</v>
      </c>
      <c r="I194" s="2">
        <v>10</v>
      </c>
      <c r="J194" s="2" t="s">
        <v>14</v>
      </c>
      <c r="K194">
        <f t="shared" si="2"/>
        <v>43966.68</v>
      </c>
      <c r="L194">
        <f>K194-(K194*I194/100)</f>
        <v>39570.012000000002</v>
      </c>
    </row>
    <row r="195" spans="1:12" x14ac:dyDescent="0.25">
      <c r="A195" s="2">
        <v>10194</v>
      </c>
      <c r="B195" s="8">
        <v>45799</v>
      </c>
      <c r="C195" s="2" t="s">
        <v>15</v>
      </c>
      <c r="D195" s="2" t="s">
        <v>37</v>
      </c>
      <c r="E195" s="2" t="s">
        <v>12</v>
      </c>
      <c r="F195" s="2" t="s">
        <v>13</v>
      </c>
      <c r="G195" s="2">
        <v>2</v>
      </c>
      <c r="H195" s="2">
        <v>1343.81</v>
      </c>
      <c r="I195" s="2">
        <v>5</v>
      </c>
      <c r="J195" s="2" t="s">
        <v>19</v>
      </c>
      <c r="K195">
        <f t="shared" ref="K195:K258" si="3">G195*H195</f>
        <v>2687.62</v>
      </c>
      <c r="L195">
        <f>K195-(K195*I195/100)</f>
        <v>2553.239</v>
      </c>
    </row>
    <row r="196" spans="1:12" x14ac:dyDescent="0.25">
      <c r="A196" s="2">
        <v>10195</v>
      </c>
      <c r="B196" s="8">
        <v>45659</v>
      </c>
      <c r="C196" s="2" t="s">
        <v>31</v>
      </c>
      <c r="D196" s="2" t="s">
        <v>11</v>
      </c>
      <c r="E196" s="2" t="s">
        <v>12</v>
      </c>
      <c r="F196" s="2" t="s">
        <v>13</v>
      </c>
      <c r="G196" s="2">
        <v>6</v>
      </c>
      <c r="H196" s="2">
        <v>2486.3000000000002</v>
      </c>
      <c r="I196" s="2">
        <v>0</v>
      </c>
      <c r="J196" s="2" t="s">
        <v>26</v>
      </c>
      <c r="K196">
        <f t="shared" si="3"/>
        <v>14917.800000000001</v>
      </c>
      <c r="L196">
        <f>K196-(K196*I196/100)</f>
        <v>14917.800000000001</v>
      </c>
    </row>
    <row r="197" spans="1:12" x14ac:dyDescent="0.25">
      <c r="A197" s="2">
        <v>10196</v>
      </c>
      <c r="B197" s="8">
        <v>45696</v>
      </c>
      <c r="C197" s="2" t="s">
        <v>39</v>
      </c>
      <c r="D197" s="2" t="s">
        <v>47</v>
      </c>
      <c r="E197" s="2" t="s">
        <v>40</v>
      </c>
      <c r="F197" s="2" t="s">
        <v>41</v>
      </c>
      <c r="G197" s="2">
        <v>4</v>
      </c>
      <c r="H197" s="2">
        <v>1574.59</v>
      </c>
      <c r="I197" s="2">
        <v>20</v>
      </c>
      <c r="J197" s="2" t="s">
        <v>14</v>
      </c>
      <c r="K197">
        <f t="shared" si="3"/>
        <v>6298.36</v>
      </c>
      <c r="L197">
        <f>K197-(K197*I197/100)</f>
        <v>5038.6880000000001</v>
      </c>
    </row>
    <row r="198" spans="1:12" x14ac:dyDescent="0.25">
      <c r="A198" s="2">
        <v>10197</v>
      </c>
      <c r="B198" s="8">
        <v>45940</v>
      </c>
      <c r="C198" s="2" t="s">
        <v>24</v>
      </c>
      <c r="D198" s="2" t="s">
        <v>29</v>
      </c>
      <c r="E198" s="2" t="s">
        <v>12</v>
      </c>
      <c r="F198" s="2" t="s">
        <v>56</v>
      </c>
      <c r="G198" s="2">
        <v>18</v>
      </c>
      <c r="H198" s="2">
        <v>1603.43</v>
      </c>
      <c r="I198" s="2">
        <v>10</v>
      </c>
      <c r="J198" s="2" t="s">
        <v>26</v>
      </c>
      <c r="K198">
        <f t="shared" si="3"/>
        <v>28861.74</v>
      </c>
      <c r="L198">
        <f>K198-(K198*I198/100)</f>
        <v>25975.566000000003</v>
      </c>
    </row>
    <row r="199" spans="1:12" x14ac:dyDescent="0.25">
      <c r="A199" s="2">
        <v>10198</v>
      </c>
      <c r="B199" s="8">
        <v>45911</v>
      </c>
      <c r="C199" s="2" t="s">
        <v>15</v>
      </c>
      <c r="D199" s="2" t="s">
        <v>51</v>
      </c>
      <c r="E199" s="2" t="s">
        <v>12</v>
      </c>
      <c r="F199" s="2" t="s">
        <v>22</v>
      </c>
      <c r="G199" s="2">
        <v>3</v>
      </c>
      <c r="H199" s="2">
        <v>3423.97</v>
      </c>
      <c r="I199" s="2">
        <v>10</v>
      </c>
      <c r="J199" s="2" t="s">
        <v>26</v>
      </c>
      <c r="K199">
        <f t="shared" si="3"/>
        <v>10271.91</v>
      </c>
      <c r="L199">
        <f>K199-(K199*I199/100)</f>
        <v>9244.7189999999991</v>
      </c>
    </row>
    <row r="200" spans="1:12" x14ac:dyDescent="0.25">
      <c r="A200" s="2">
        <v>10199</v>
      </c>
      <c r="B200" s="8">
        <v>45685</v>
      </c>
      <c r="C200" s="2" t="s">
        <v>27</v>
      </c>
      <c r="D200" s="2" t="s">
        <v>25</v>
      </c>
      <c r="E200" s="2" t="s">
        <v>34</v>
      </c>
      <c r="F200" s="2" t="s">
        <v>44</v>
      </c>
      <c r="G200" s="2">
        <v>9</v>
      </c>
      <c r="H200" s="2">
        <v>3661.16</v>
      </c>
      <c r="I200" s="2">
        <v>10</v>
      </c>
      <c r="J200" s="2" t="s">
        <v>19</v>
      </c>
      <c r="K200">
        <f t="shared" si="3"/>
        <v>32950.44</v>
      </c>
      <c r="L200">
        <f>K200-(K200*I200/100)</f>
        <v>29655.396000000001</v>
      </c>
    </row>
    <row r="201" spans="1:12" x14ac:dyDescent="0.25">
      <c r="A201" s="2">
        <v>10200</v>
      </c>
      <c r="B201" s="8">
        <v>45952</v>
      </c>
      <c r="C201" s="2" t="s">
        <v>54</v>
      </c>
      <c r="D201" s="2" t="s">
        <v>11</v>
      </c>
      <c r="E201" s="2" t="s">
        <v>17</v>
      </c>
      <c r="F201" s="2" t="s">
        <v>55</v>
      </c>
      <c r="G201" s="2">
        <v>7</v>
      </c>
      <c r="H201" s="2">
        <v>1644.08</v>
      </c>
      <c r="I201" s="2">
        <v>20</v>
      </c>
      <c r="J201" s="2" t="s">
        <v>26</v>
      </c>
      <c r="K201">
        <f t="shared" si="3"/>
        <v>11508.56</v>
      </c>
      <c r="L201">
        <f>K201-(K201*I201/100)</f>
        <v>9206.848</v>
      </c>
    </row>
    <row r="202" spans="1:12" x14ac:dyDescent="0.25">
      <c r="A202" s="2">
        <v>10201</v>
      </c>
      <c r="B202" s="8">
        <v>45987</v>
      </c>
      <c r="C202" s="2" t="s">
        <v>15</v>
      </c>
      <c r="D202" s="2" t="s">
        <v>25</v>
      </c>
      <c r="E202" s="2" t="s">
        <v>17</v>
      </c>
      <c r="F202" s="2" t="s">
        <v>18</v>
      </c>
      <c r="G202" s="2">
        <v>7</v>
      </c>
      <c r="H202" s="2">
        <v>3464.14</v>
      </c>
      <c r="I202" s="2">
        <v>0</v>
      </c>
      <c r="J202" s="2" t="s">
        <v>23</v>
      </c>
      <c r="K202">
        <f t="shared" si="3"/>
        <v>24248.98</v>
      </c>
      <c r="L202">
        <f>K202-(K202*I202/100)</f>
        <v>24248.98</v>
      </c>
    </row>
    <row r="203" spans="1:12" x14ac:dyDescent="0.25">
      <c r="A203" s="2">
        <v>10202</v>
      </c>
      <c r="B203" s="8">
        <v>46022</v>
      </c>
      <c r="C203" s="2" t="s">
        <v>54</v>
      </c>
      <c r="D203" s="2" t="s">
        <v>25</v>
      </c>
      <c r="E203" s="2" t="s">
        <v>12</v>
      </c>
      <c r="F203" s="2" t="s">
        <v>13</v>
      </c>
      <c r="G203" s="2">
        <v>7</v>
      </c>
      <c r="H203" s="2">
        <v>4267.29</v>
      </c>
      <c r="I203" s="2">
        <v>5</v>
      </c>
      <c r="J203" s="2" t="s">
        <v>30</v>
      </c>
      <c r="K203">
        <f t="shared" si="3"/>
        <v>29871.03</v>
      </c>
      <c r="L203">
        <f>K203-(K203*I203/100)</f>
        <v>28377.478499999997</v>
      </c>
    </row>
    <row r="204" spans="1:12" x14ac:dyDescent="0.25">
      <c r="A204" s="2">
        <v>10203</v>
      </c>
      <c r="B204" s="8">
        <v>45925</v>
      </c>
      <c r="C204" s="2" t="s">
        <v>24</v>
      </c>
      <c r="D204" s="2" t="s">
        <v>37</v>
      </c>
      <c r="E204" s="2" t="s">
        <v>34</v>
      </c>
      <c r="F204" s="2" t="s">
        <v>44</v>
      </c>
      <c r="G204" s="2">
        <v>11</v>
      </c>
      <c r="H204" s="2">
        <v>1997.3</v>
      </c>
      <c r="I204" s="2">
        <v>5</v>
      </c>
      <c r="J204" s="2" t="s">
        <v>30</v>
      </c>
      <c r="K204">
        <f t="shared" si="3"/>
        <v>21970.3</v>
      </c>
      <c r="L204">
        <f>K204-(K204*I204/100)</f>
        <v>20871.785</v>
      </c>
    </row>
    <row r="205" spans="1:12" x14ac:dyDescent="0.25">
      <c r="A205" s="2">
        <v>10204</v>
      </c>
      <c r="B205" s="8">
        <v>45938</v>
      </c>
      <c r="C205" s="2" t="s">
        <v>54</v>
      </c>
      <c r="D205" s="2" t="s">
        <v>16</v>
      </c>
      <c r="E205" s="2" t="s">
        <v>12</v>
      </c>
      <c r="F205" s="2" t="s">
        <v>22</v>
      </c>
      <c r="G205" s="2">
        <v>9</v>
      </c>
      <c r="H205" s="2">
        <v>4890</v>
      </c>
      <c r="I205" s="2">
        <v>15</v>
      </c>
      <c r="J205" s="2" t="s">
        <v>23</v>
      </c>
      <c r="K205">
        <f t="shared" si="3"/>
        <v>44010</v>
      </c>
      <c r="L205">
        <f>K205-(K205*I205/100)</f>
        <v>37408.5</v>
      </c>
    </row>
    <row r="206" spans="1:12" x14ac:dyDescent="0.25">
      <c r="A206" s="2">
        <v>10205</v>
      </c>
      <c r="B206" s="8">
        <v>45722</v>
      </c>
      <c r="C206" s="2" t="s">
        <v>54</v>
      </c>
      <c r="D206" s="2" t="s">
        <v>45</v>
      </c>
      <c r="E206" s="2" t="s">
        <v>12</v>
      </c>
      <c r="F206" s="2" t="s">
        <v>33</v>
      </c>
      <c r="G206" s="2">
        <v>9</v>
      </c>
      <c r="H206" s="2">
        <v>1768.29</v>
      </c>
      <c r="I206" s="2">
        <v>0</v>
      </c>
      <c r="J206" s="2" t="s">
        <v>23</v>
      </c>
      <c r="K206">
        <f t="shared" si="3"/>
        <v>15914.61</v>
      </c>
      <c r="L206">
        <f>K206-(K206*I206/100)</f>
        <v>15914.61</v>
      </c>
    </row>
    <row r="207" spans="1:12" x14ac:dyDescent="0.25">
      <c r="A207" s="2">
        <v>10206</v>
      </c>
      <c r="B207" s="8">
        <v>45729</v>
      </c>
      <c r="C207" s="2" t="s">
        <v>10</v>
      </c>
      <c r="D207" s="2" t="s">
        <v>16</v>
      </c>
      <c r="E207" s="2" t="s">
        <v>12</v>
      </c>
      <c r="F207" s="2" t="s">
        <v>56</v>
      </c>
      <c r="G207" s="2">
        <v>1</v>
      </c>
      <c r="H207" s="2">
        <v>1446.8</v>
      </c>
      <c r="I207" s="2">
        <v>5</v>
      </c>
      <c r="J207" s="2" t="s">
        <v>14</v>
      </c>
      <c r="K207">
        <f t="shared" si="3"/>
        <v>1446.8</v>
      </c>
      <c r="L207">
        <f>K207-(K207*I207/100)</f>
        <v>1374.46</v>
      </c>
    </row>
    <row r="208" spans="1:12" x14ac:dyDescent="0.25">
      <c r="A208" s="2">
        <v>10207</v>
      </c>
      <c r="B208" s="8">
        <v>45771</v>
      </c>
      <c r="C208" s="2" t="s">
        <v>32</v>
      </c>
      <c r="D208" s="2" t="s">
        <v>25</v>
      </c>
      <c r="E208" s="2" t="s">
        <v>34</v>
      </c>
      <c r="F208" s="2" t="s">
        <v>38</v>
      </c>
      <c r="G208" s="2">
        <v>18</v>
      </c>
      <c r="H208" s="2">
        <v>4843.68</v>
      </c>
      <c r="I208" s="2">
        <v>10</v>
      </c>
      <c r="J208" s="2" t="s">
        <v>14</v>
      </c>
      <c r="K208">
        <f t="shared" si="3"/>
        <v>87186.240000000005</v>
      </c>
      <c r="L208">
        <f>K208-(K208*I208/100)</f>
        <v>78467.616000000009</v>
      </c>
    </row>
    <row r="209" spans="1:12" x14ac:dyDescent="0.25">
      <c r="A209" s="2">
        <v>10208</v>
      </c>
      <c r="B209" s="8">
        <v>45885</v>
      </c>
      <c r="C209" s="2" t="s">
        <v>24</v>
      </c>
      <c r="D209" s="2" t="s">
        <v>11</v>
      </c>
      <c r="E209" s="2" t="s">
        <v>34</v>
      </c>
      <c r="F209" s="2" t="s">
        <v>50</v>
      </c>
      <c r="G209" s="2">
        <v>9</v>
      </c>
      <c r="H209" s="2">
        <v>473.78</v>
      </c>
      <c r="I209" s="2">
        <v>5</v>
      </c>
      <c r="J209" s="2" t="s">
        <v>23</v>
      </c>
      <c r="K209">
        <f t="shared" si="3"/>
        <v>4264.0199999999995</v>
      </c>
      <c r="L209">
        <f>K209-(K209*I209/100)</f>
        <v>4050.8189999999995</v>
      </c>
    </row>
    <row r="210" spans="1:12" x14ac:dyDescent="0.25">
      <c r="A210" s="2">
        <v>10209</v>
      </c>
      <c r="B210" s="8">
        <v>45719</v>
      </c>
      <c r="C210" s="2" t="s">
        <v>15</v>
      </c>
      <c r="D210" s="2" t="s">
        <v>25</v>
      </c>
      <c r="E210" s="2" t="s">
        <v>12</v>
      </c>
      <c r="F210" s="2" t="s">
        <v>33</v>
      </c>
      <c r="G210" s="2">
        <v>3</v>
      </c>
      <c r="H210" s="2">
        <v>3149.38</v>
      </c>
      <c r="I210" s="2">
        <v>5</v>
      </c>
      <c r="J210" s="2" t="s">
        <v>30</v>
      </c>
      <c r="K210">
        <f t="shared" si="3"/>
        <v>9448.14</v>
      </c>
      <c r="L210">
        <f>K210-(K210*I210/100)</f>
        <v>8975.7330000000002</v>
      </c>
    </row>
    <row r="211" spans="1:12" x14ac:dyDescent="0.25">
      <c r="A211" s="2">
        <v>10210</v>
      </c>
      <c r="B211" s="8">
        <v>45667</v>
      </c>
      <c r="C211" s="2" t="s">
        <v>20</v>
      </c>
      <c r="D211" s="2" t="s">
        <v>51</v>
      </c>
      <c r="E211" s="2" t="s">
        <v>34</v>
      </c>
      <c r="F211" s="2" t="s">
        <v>38</v>
      </c>
      <c r="G211" s="2">
        <v>9</v>
      </c>
      <c r="H211" s="2">
        <v>4172.09</v>
      </c>
      <c r="I211" s="2">
        <v>15</v>
      </c>
      <c r="J211" s="2" t="s">
        <v>30</v>
      </c>
      <c r="K211">
        <f t="shared" si="3"/>
        <v>37548.81</v>
      </c>
      <c r="L211">
        <f>K211-(K211*I211/100)</f>
        <v>31916.488499999999</v>
      </c>
    </row>
    <row r="212" spans="1:12" x14ac:dyDescent="0.25">
      <c r="A212" s="2">
        <v>10211</v>
      </c>
      <c r="B212" s="8">
        <v>45662</v>
      </c>
      <c r="C212" s="2" t="s">
        <v>10</v>
      </c>
      <c r="D212" s="2" t="s">
        <v>25</v>
      </c>
      <c r="E212" s="2" t="s">
        <v>40</v>
      </c>
      <c r="F212" s="2" t="s">
        <v>41</v>
      </c>
      <c r="G212" s="2">
        <v>4</v>
      </c>
      <c r="H212" s="2">
        <v>2057.34</v>
      </c>
      <c r="I212" s="2">
        <v>0</v>
      </c>
      <c r="J212" s="2" t="s">
        <v>30</v>
      </c>
      <c r="K212">
        <f t="shared" si="3"/>
        <v>8229.36</v>
      </c>
      <c r="L212">
        <f>K212-(K212*I212/100)</f>
        <v>8229.36</v>
      </c>
    </row>
    <row r="213" spans="1:12" x14ac:dyDescent="0.25">
      <c r="A213" s="2">
        <v>10212</v>
      </c>
      <c r="B213" s="8">
        <v>45913</v>
      </c>
      <c r="C213" s="2" t="s">
        <v>24</v>
      </c>
      <c r="D213" s="2" t="s">
        <v>52</v>
      </c>
      <c r="E213" s="2" t="s">
        <v>12</v>
      </c>
      <c r="F213" s="2" t="s">
        <v>13</v>
      </c>
      <c r="G213" s="2">
        <v>14</v>
      </c>
      <c r="H213" s="2">
        <v>1413.47</v>
      </c>
      <c r="I213" s="2">
        <v>15</v>
      </c>
      <c r="J213" s="2" t="s">
        <v>30</v>
      </c>
      <c r="K213">
        <f t="shared" si="3"/>
        <v>19788.580000000002</v>
      </c>
      <c r="L213">
        <f>K213-(K213*I213/100)</f>
        <v>16820.293000000001</v>
      </c>
    </row>
    <row r="214" spans="1:12" x14ac:dyDescent="0.25">
      <c r="A214" s="2">
        <v>10213</v>
      </c>
      <c r="B214" s="8">
        <v>45759</v>
      </c>
      <c r="C214" s="2" t="s">
        <v>42</v>
      </c>
      <c r="D214" s="2" t="s">
        <v>16</v>
      </c>
      <c r="E214" s="2" t="s">
        <v>40</v>
      </c>
      <c r="F214" s="2" t="s">
        <v>53</v>
      </c>
      <c r="G214" s="2">
        <v>8</v>
      </c>
      <c r="H214" s="2">
        <v>4898.42</v>
      </c>
      <c r="I214" s="2">
        <v>5</v>
      </c>
      <c r="J214" s="2" t="s">
        <v>30</v>
      </c>
      <c r="K214">
        <f t="shared" si="3"/>
        <v>39187.360000000001</v>
      </c>
      <c r="L214">
        <f>K214-(K214*I214/100)</f>
        <v>37227.991999999998</v>
      </c>
    </row>
    <row r="215" spans="1:12" x14ac:dyDescent="0.25">
      <c r="A215" s="2">
        <v>10214</v>
      </c>
      <c r="B215" s="8">
        <v>45906</v>
      </c>
      <c r="C215" s="2" t="s">
        <v>32</v>
      </c>
      <c r="D215" s="2" t="s">
        <v>25</v>
      </c>
      <c r="E215" s="2" t="s">
        <v>17</v>
      </c>
      <c r="F215" s="2" t="s">
        <v>55</v>
      </c>
      <c r="G215" s="2">
        <v>9</v>
      </c>
      <c r="H215" s="2">
        <v>2913.68</v>
      </c>
      <c r="I215" s="2">
        <v>15</v>
      </c>
      <c r="J215" s="2" t="s">
        <v>23</v>
      </c>
      <c r="K215">
        <f t="shared" si="3"/>
        <v>26223.119999999999</v>
      </c>
      <c r="L215">
        <f>K215-(K215*I215/100)</f>
        <v>22289.651999999998</v>
      </c>
    </row>
    <row r="216" spans="1:12" x14ac:dyDescent="0.25">
      <c r="A216" s="2">
        <v>10215</v>
      </c>
      <c r="B216" s="8">
        <v>45912</v>
      </c>
      <c r="C216" s="2" t="s">
        <v>20</v>
      </c>
      <c r="D216" s="2" t="s">
        <v>16</v>
      </c>
      <c r="E216" s="2" t="s">
        <v>12</v>
      </c>
      <c r="F216" s="2" t="s">
        <v>22</v>
      </c>
      <c r="G216" s="2">
        <v>19</v>
      </c>
      <c r="H216" s="2">
        <v>1572.25</v>
      </c>
      <c r="I216" s="2">
        <v>20</v>
      </c>
      <c r="J216" s="2" t="s">
        <v>26</v>
      </c>
      <c r="K216">
        <f t="shared" si="3"/>
        <v>29872.75</v>
      </c>
      <c r="L216">
        <f>K216-(K216*I216/100)</f>
        <v>23898.2</v>
      </c>
    </row>
    <row r="217" spans="1:12" x14ac:dyDescent="0.25">
      <c r="A217" s="2">
        <v>10216</v>
      </c>
      <c r="B217" s="8">
        <v>45723</v>
      </c>
      <c r="C217" s="2" t="s">
        <v>48</v>
      </c>
      <c r="D217" s="2" t="s">
        <v>29</v>
      </c>
      <c r="E217" s="2" t="s">
        <v>17</v>
      </c>
      <c r="F217" s="2" t="s">
        <v>36</v>
      </c>
      <c r="G217" s="2">
        <v>4</v>
      </c>
      <c r="H217" s="2">
        <v>2518.33</v>
      </c>
      <c r="I217" s="2">
        <v>0</v>
      </c>
      <c r="J217" s="2" t="s">
        <v>26</v>
      </c>
      <c r="K217">
        <f t="shared" si="3"/>
        <v>10073.32</v>
      </c>
      <c r="L217">
        <f>K217-(K217*I217/100)</f>
        <v>10073.32</v>
      </c>
    </row>
    <row r="218" spans="1:12" x14ac:dyDescent="0.25">
      <c r="A218" s="2">
        <v>10217</v>
      </c>
      <c r="B218" s="8">
        <v>45752</v>
      </c>
      <c r="C218" s="2" t="s">
        <v>32</v>
      </c>
      <c r="D218" s="2" t="s">
        <v>51</v>
      </c>
      <c r="E218" s="2" t="s">
        <v>12</v>
      </c>
      <c r="F218" s="2" t="s">
        <v>22</v>
      </c>
      <c r="G218" s="2">
        <v>1</v>
      </c>
      <c r="H218" s="2">
        <v>2864.78</v>
      </c>
      <c r="I218" s="2">
        <v>5</v>
      </c>
      <c r="J218" s="2" t="s">
        <v>23</v>
      </c>
      <c r="K218">
        <f t="shared" si="3"/>
        <v>2864.78</v>
      </c>
      <c r="L218">
        <f>K218-(K218*I218/100)</f>
        <v>2721.5410000000002</v>
      </c>
    </row>
    <row r="219" spans="1:12" x14ac:dyDescent="0.25">
      <c r="A219" s="2">
        <v>10218</v>
      </c>
      <c r="B219" s="8">
        <v>45680</v>
      </c>
      <c r="C219" s="2" t="s">
        <v>48</v>
      </c>
      <c r="D219" s="2" t="s">
        <v>37</v>
      </c>
      <c r="E219" s="2" t="s">
        <v>40</v>
      </c>
      <c r="F219" s="2" t="s">
        <v>49</v>
      </c>
      <c r="G219" s="2">
        <v>6</v>
      </c>
      <c r="H219" s="2">
        <v>940.44</v>
      </c>
      <c r="I219" s="2">
        <v>10</v>
      </c>
      <c r="J219" s="2" t="s">
        <v>19</v>
      </c>
      <c r="K219">
        <f t="shared" si="3"/>
        <v>5642.64</v>
      </c>
      <c r="L219">
        <f>K219-(K219*I219/100)</f>
        <v>5078.3760000000002</v>
      </c>
    </row>
    <row r="220" spans="1:12" x14ac:dyDescent="0.25">
      <c r="A220" s="2">
        <v>10219</v>
      </c>
      <c r="B220" s="8">
        <v>45945</v>
      </c>
      <c r="C220" s="2" t="s">
        <v>15</v>
      </c>
      <c r="D220" s="2" t="s">
        <v>47</v>
      </c>
      <c r="E220" s="2" t="s">
        <v>12</v>
      </c>
      <c r="F220" s="2" t="s">
        <v>33</v>
      </c>
      <c r="G220" s="2">
        <v>8</v>
      </c>
      <c r="H220" s="2">
        <v>4740.3999999999996</v>
      </c>
      <c r="I220" s="2">
        <v>0</v>
      </c>
      <c r="J220" s="2" t="s">
        <v>14</v>
      </c>
      <c r="K220">
        <f t="shared" si="3"/>
        <v>37923.199999999997</v>
      </c>
      <c r="L220">
        <f>K220-(K220*I220/100)</f>
        <v>37923.199999999997</v>
      </c>
    </row>
    <row r="221" spans="1:12" x14ac:dyDescent="0.25">
      <c r="A221" s="2">
        <v>10220</v>
      </c>
      <c r="B221" s="8">
        <v>45969</v>
      </c>
      <c r="C221" s="2" t="s">
        <v>31</v>
      </c>
      <c r="D221" s="2" t="s">
        <v>29</v>
      </c>
      <c r="E221" s="2" t="s">
        <v>12</v>
      </c>
      <c r="F221" s="2" t="s">
        <v>13</v>
      </c>
      <c r="G221" s="2">
        <v>13</v>
      </c>
      <c r="H221" s="2">
        <v>2817.78</v>
      </c>
      <c r="I221" s="2">
        <v>0</v>
      </c>
      <c r="J221" s="2" t="s">
        <v>14</v>
      </c>
      <c r="K221">
        <f t="shared" si="3"/>
        <v>36631.14</v>
      </c>
      <c r="L221">
        <f>K221-(K221*I221/100)</f>
        <v>36631.14</v>
      </c>
    </row>
    <row r="222" spans="1:12" x14ac:dyDescent="0.25">
      <c r="A222" s="2">
        <v>10221</v>
      </c>
      <c r="B222" s="8">
        <v>45667</v>
      </c>
      <c r="C222" s="2" t="s">
        <v>24</v>
      </c>
      <c r="D222" s="2" t="s">
        <v>47</v>
      </c>
      <c r="E222" s="2" t="s">
        <v>34</v>
      </c>
      <c r="F222" s="2" t="s">
        <v>44</v>
      </c>
      <c r="G222" s="2">
        <v>9</v>
      </c>
      <c r="H222" s="2">
        <v>2504.62</v>
      </c>
      <c r="I222" s="2">
        <v>0</v>
      </c>
      <c r="J222" s="2" t="s">
        <v>19</v>
      </c>
      <c r="K222">
        <f t="shared" si="3"/>
        <v>22541.579999999998</v>
      </c>
      <c r="L222">
        <f>K222-(K222*I222/100)</f>
        <v>22541.579999999998</v>
      </c>
    </row>
    <row r="223" spans="1:12" x14ac:dyDescent="0.25">
      <c r="A223" s="2">
        <v>10222</v>
      </c>
      <c r="B223" s="8">
        <v>45985</v>
      </c>
      <c r="C223" s="2" t="s">
        <v>20</v>
      </c>
      <c r="D223" s="2" t="s">
        <v>25</v>
      </c>
      <c r="E223" s="2" t="s">
        <v>12</v>
      </c>
      <c r="F223" s="2" t="s">
        <v>22</v>
      </c>
      <c r="G223" s="2">
        <v>11</v>
      </c>
      <c r="H223" s="2">
        <v>2952.83</v>
      </c>
      <c r="I223" s="2">
        <v>10</v>
      </c>
      <c r="J223" s="2" t="s">
        <v>14</v>
      </c>
      <c r="K223">
        <f t="shared" si="3"/>
        <v>32481.129999999997</v>
      </c>
      <c r="L223">
        <f>K223-(K223*I223/100)</f>
        <v>29233.016999999996</v>
      </c>
    </row>
    <row r="224" spans="1:12" x14ac:dyDescent="0.25">
      <c r="A224" s="2">
        <v>10223</v>
      </c>
      <c r="B224" s="8">
        <v>45805</v>
      </c>
      <c r="C224" s="2" t="s">
        <v>32</v>
      </c>
      <c r="D224" s="2" t="s">
        <v>51</v>
      </c>
      <c r="E224" s="2" t="s">
        <v>17</v>
      </c>
      <c r="F224" s="2" t="s">
        <v>18</v>
      </c>
      <c r="G224" s="2">
        <v>1</v>
      </c>
      <c r="H224" s="2">
        <v>169.6</v>
      </c>
      <c r="I224" s="2">
        <v>20</v>
      </c>
      <c r="J224" s="2" t="s">
        <v>14</v>
      </c>
      <c r="K224">
        <f t="shared" si="3"/>
        <v>169.6</v>
      </c>
      <c r="L224">
        <f>K224-(K224*I224/100)</f>
        <v>135.68</v>
      </c>
    </row>
    <row r="225" spans="1:12" x14ac:dyDescent="0.25">
      <c r="A225" s="2">
        <v>10224</v>
      </c>
      <c r="B225" s="8">
        <v>45856</v>
      </c>
      <c r="C225" s="2" t="s">
        <v>43</v>
      </c>
      <c r="D225" s="2" t="s">
        <v>47</v>
      </c>
      <c r="E225" s="2" t="s">
        <v>12</v>
      </c>
      <c r="F225" s="2" t="s">
        <v>56</v>
      </c>
      <c r="G225" s="2">
        <v>6</v>
      </c>
      <c r="H225" s="2">
        <v>2241.7399999999998</v>
      </c>
      <c r="I225" s="2">
        <v>5</v>
      </c>
      <c r="J225" s="2" t="s">
        <v>19</v>
      </c>
      <c r="K225">
        <f t="shared" si="3"/>
        <v>13450.439999999999</v>
      </c>
      <c r="L225">
        <f>K225-(K225*I225/100)</f>
        <v>12777.917999999998</v>
      </c>
    </row>
    <row r="226" spans="1:12" x14ac:dyDescent="0.25">
      <c r="A226" s="2">
        <v>10225</v>
      </c>
      <c r="B226" s="8">
        <v>45792</v>
      </c>
      <c r="C226" s="2" t="s">
        <v>10</v>
      </c>
      <c r="D226" s="2" t="s">
        <v>51</v>
      </c>
      <c r="E226" s="2" t="s">
        <v>12</v>
      </c>
      <c r="F226" s="2" t="s">
        <v>33</v>
      </c>
      <c r="G226" s="2">
        <v>19</v>
      </c>
      <c r="H226" s="2">
        <v>463.23</v>
      </c>
      <c r="I226" s="2">
        <v>10</v>
      </c>
      <c r="J226" s="2" t="s">
        <v>19</v>
      </c>
      <c r="K226">
        <f t="shared" si="3"/>
        <v>8801.3700000000008</v>
      </c>
      <c r="L226">
        <f>K226-(K226*I226/100)</f>
        <v>7921.2330000000002</v>
      </c>
    </row>
    <row r="227" spans="1:12" x14ac:dyDescent="0.25">
      <c r="A227" s="2">
        <v>10226</v>
      </c>
      <c r="B227" s="8">
        <v>45711</v>
      </c>
      <c r="C227" s="2" t="s">
        <v>48</v>
      </c>
      <c r="D227" s="2" t="s">
        <v>21</v>
      </c>
      <c r="E227" s="2" t="s">
        <v>40</v>
      </c>
      <c r="F227" s="2" t="s">
        <v>53</v>
      </c>
      <c r="G227" s="2">
        <v>15</v>
      </c>
      <c r="H227" s="2">
        <v>2949.75</v>
      </c>
      <c r="I227" s="2">
        <v>0</v>
      </c>
      <c r="J227" s="2" t="s">
        <v>30</v>
      </c>
      <c r="K227">
        <f t="shared" si="3"/>
        <v>44246.25</v>
      </c>
      <c r="L227">
        <f>K227-(K227*I227/100)</f>
        <v>44246.25</v>
      </c>
    </row>
    <row r="228" spans="1:12" x14ac:dyDescent="0.25">
      <c r="A228" s="2">
        <v>10227</v>
      </c>
      <c r="B228" s="8">
        <v>45991</v>
      </c>
      <c r="C228" s="2" t="s">
        <v>24</v>
      </c>
      <c r="D228" s="2" t="s">
        <v>11</v>
      </c>
      <c r="E228" s="2" t="s">
        <v>12</v>
      </c>
      <c r="F228" s="2" t="s">
        <v>22</v>
      </c>
      <c r="G228" s="2">
        <v>16</v>
      </c>
      <c r="H228" s="2">
        <v>3143.66</v>
      </c>
      <c r="I228" s="2">
        <v>10</v>
      </c>
      <c r="J228" s="2" t="s">
        <v>30</v>
      </c>
      <c r="K228">
        <f t="shared" si="3"/>
        <v>50298.559999999998</v>
      </c>
      <c r="L228">
        <f>K228-(K228*I228/100)</f>
        <v>45268.703999999998</v>
      </c>
    </row>
    <row r="229" spans="1:12" x14ac:dyDescent="0.25">
      <c r="A229" s="2">
        <v>10228</v>
      </c>
      <c r="B229" s="8">
        <v>45851</v>
      </c>
      <c r="C229" s="2" t="s">
        <v>48</v>
      </c>
      <c r="D229" s="2" t="s">
        <v>21</v>
      </c>
      <c r="E229" s="2" t="s">
        <v>12</v>
      </c>
      <c r="F229" s="2" t="s">
        <v>33</v>
      </c>
      <c r="G229" s="2">
        <v>14</v>
      </c>
      <c r="H229" s="2">
        <v>442.31</v>
      </c>
      <c r="I229" s="2">
        <v>0</v>
      </c>
      <c r="J229" s="2" t="s">
        <v>19</v>
      </c>
      <c r="K229">
        <f t="shared" si="3"/>
        <v>6192.34</v>
      </c>
      <c r="L229">
        <f>K229-(K229*I229/100)</f>
        <v>6192.34</v>
      </c>
    </row>
    <row r="230" spans="1:12" x14ac:dyDescent="0.25">
      <c r="A230" s="2">
        <v>10229</v>
      </c>
      <c r="B230" s="8">
        <v>45944</v>
      </c>
      <c r="C230" s="2" t="s">
        <v>31</v>
      </c>
      <c r="D230" s="2" t="s">
        <v>51</v>
      </c>
      <c r="E230" s="2" t="s">
        <v>17</v>
      </c>
      <c r="F230" s="2" t="s">
        <v>55</v>
      </c>
      <c r="G230" s="2">
        <v>19</v>
      </c>
      <c r="H230" s="2">
        <v>717.53</v>
      </c>
      <c r="I230" s="2">
        <v>5</v>
      </c>
      <c r="J230" s="2" t="s">
        <v>30</v>
      </c>
      <c r="K230">
        <f t="shared" si="3"/>
        <v>13633.07</v>
      </c>
      <c r="L230">
        <f>K230-(K230*I230/100)</f>
        <v>12951.416499999999</v>
      </c>
    </row>
    <row r="231" spans="1:12" x14ac:dyDescent="0.25">
      <c r="A231" s="2">
        <v>10230</v>
      </c>
      <c r="B231" s="8">
        <v>45707</v>
      </c>
      <c r="C231" s="2" t="s">
        <v>20</v>
      </c>
      <c r="D231" s="2" t="s">
        <v>47</v>
      </c>
      <c r="E231" s="2" t="s">
        <v>40</v>
      </c>
      <c r="F231" s="2" t="s">
        <v>53</v>
      </c>
      <c r="G231" s="2">
        <v>7</v>
      </c>
      <c r="H231" s="2">
        <v>4909.1099999999997</v>
      </c>
      <c r="I231" s="2">
        <v>5</v>
      </c>
      <c r="J231" s="2" t="s">
        <v>26</v>
      </c>
      <c r="K231">
        <f t="shared" si="3"/>
        <v>34363.769999999997</v>
      </c>
      <c r="L231">
        <f>K231-(K231*I231/100)</f>
        <v>32645.581499999997</v>
      </c>
    </row>
    <row r="232" spans="1:12" x14ac:dyDescent="0.25">
      <c r="A232" s="2">
        <v>10231</v>
      </c>
      <c r="B232" s="8">
        <v>45678</v>
      </c>
      <c r="C232" s="2" t="s">
        <v>42</v>
      </c>
      <c r="D232" s="2" t="s">
        <v>37</v>
      </c>
      <c r="E232" s="2" t="s">
        <v>17</v>
      </c>
      <c r="F232" s="2" t="s">
        <v>18</v>
      </c>
      <c r="G232" s="2">
        <v>5</v>
      </c>
      <c r="H232" s="2">
        <v>4428.71</v>
      </c>
      <c r="I232" s="2">
        <v>5</v>
      </c>
      <c r="J232" s="2" t="s">
        <v>23</v>
      </c>
      <c r="K232">
        <f t="shared" si="3"/>
        <v>22143.55</v>
      </c>
      <c r="L232">
        <f>K232-(K232*I232/100)</f>
        <v>21036.372499999998</v>
      </c>
    </row>
    <row r="233" spans="1:12" x14ac:dyDescent="0.25">
      <c r="A233" s="2">
        <v>10232</v>
      </c>
      <c r="B233" s="8">
        <v>45767</v>
      </c>
      <c r="C233" s="2" t="s">
        <v>54</v>
      </c>
      <c r="D233" s="2" t="s">
        <v>45</v>
      </c>
      <c r="E233" s="2" t="s">
        <v>17</v>
      </c>
      <c r="F233" s="2" t="s">
        <v>55</v>
      </c>
      <c r="G233" s="2">
        <v>5</v>
      </c>
      <c r="H233" s="2">
        <v>2775.69</v>
      </c>
      <c r="I233" s="2">
        <v>20</v>
      </c>
      <c r="J233" s="2" t="s">
        <v>23</v>
      </c>
      <c r="K233">
        <f t="shared" si="3"/>
        <v>13878.45</v>
      </c>
      <c r="L233">
        <f>K233-(K233*I233/100)</f>
        <v>11102.76</v>
      </c>
    </row>
    <row r="234" spans="1:12" x14ac:dyDescent="0.25">
      <c r="A234" s="2">
        <v>10233</v>
      </c>
      <c r="B234" s="8">
        <v>45896</v>
      </c>
      <c r="C234" s="2" t="s">
        <v>24</v>
      </c>
      <c r="D234" s="2" t="s">
        <v>51</v>
      </c>
      <c r="E234" s="2" t="s">
        <v>12</v>
      </c>
      <c r="F234" s="2" t="s">
        <v>33</v>
      </c>
      <c r="G234" s="2">
        <v>10</v>
      </c>
      <c r="H234" s="2">
        <v>1760.21</v>
      </c>
      <c r="I234" s="2">
        <v>5</v>
      </c>
      <c r="J234" s="2" t="s">
        <v>14</v>
      </c>
      <c r="K234">
        <f t="shared" si="3"/>
        <v>17602.099999999999</v>
      </c>
      <c r="L234">
        <f>K234-(K234*I234/100)</f>
        <v>16721.994999999999</v>
      </c>
    </row>
    <row r="235" spans="1:12" x14ac:dyDescent="0.25">
      <c r="A235" s="2">
        <v>10234</v>
      </c>
      <c r="B235" s="8">
        <v>45955</v>
      </c>
      <c r="C235" s="2" t="s">
        <v>39</v>
      </c>
      <c r="D235" s="2" t="s">
        <v>16</v>
      </c>
      <c r="E235" s="2" t="s">
        <v>34</v>
      </c>
      <c r="F235" s="2" t="s">
        <v>50</v>
      </c>
      <c r="G235" s="2">
        <v>9</v>
      </c>
      <c r="H235" s="2">
        <v>425.66</v>
      </c>
      <c r="I235" s="2">
        <v>5</v>
      </c>
      <c r="J235" s="2" t="s">
        <v>30</v>
      </c>
      <c r="K235">
        <f t="shared" si="3"/>
        <v>3830.94</v>
      </c>
      <c r="L235">
        <f>K235-(K235*I235/100)</f>
        <v>3639.393</v>
      </c>
    </row>
    <row r="236" spans="1:12" x14ac:dyDescent="0.25">
      <c r="A236" s="2">
        <v>10235</v>
      </c>
      <c r="B236" s="8">
        <v>45983</v>
      </c>
      <c r="C236" s="2" t="s">
        <v>20</v>
      </c>
      <c r="D236" s="2" t="s">
        <v>47</v>
      </c>
      <c r="E236" s="2" t="s">
        <v>17</v>
      </c>
      <c r="F236" s="2" t="s">
        <v>18</v>
      </c>
      <c r="G236" s="2">
        <v>13</v>
      </c>
      <c r="H236" s="2">
        <v>2766.59</v>
      </c>
      <c r="I236" s="2">
        <v>20</v>
      </c>
      <c r="J236" s="2" t="s">
        <v>19</v>
      </c>
      <c r="K236">
        <f t="shared" si="3"/>
        <v>35965.67</v>
      </c>
      <c r="L236">
        <f>K236-(K236*I236/100)</f>
        <v>28772.536</v>
      </c>
    </row>
    <row r="237" spans="1:12" x14ac:dyDescent="0.25">
      <c r="A237" s="2">
        <v>10236</v>
      </c>
      <c r="B237" s="8">
        <v>45772</v>
      </c>
      <c r="C237" s="2" t="s">
        <v>39</v>
      </c>
      <c r="D237" s="2" t="s">
        <v>51</v>
      </c>
      <c r="E237" s="2" t="s">
        <v>17</v>
      </c>
      <c r="F237" s="2" t="s">
        <v>55</v>
      </c>
      <c r="G237" s="2">
        <v>14</v>
      </c>
      <c r="H237" s="2">
        <v>2443.9899999999998</v>
      </c>
      <c r="I237" s="2">
        <v>20</v>
      </c>
      <c r="J237" s="2" t="s">
        <v>14</v>
      </c>
      <c r="K237">
        <f t="shared" si="3"/>
        <v>34215.86</v>
      </c>
      <c r="L237">
        <f>K237-(K237*I237/100)</f>
        <v>27372.688000000002</v>
      </c>
    </row>
    <row r="238" spans="1:12" x14ac:dyDescent="0.25">
      <c r="A238" s="2">
        <v>10237</v>
      </c>
      <c r="B238" s="8">
        <v>45821</v>
      </c>
      <c r="C238" s="2" t="s">
        <v>42</v>
      </c>
      <c r="D238" s="2" t="s">
        <v>51</v>
      </c>
      <c r="E238" s="2" t="s">
        <v>40</v>
      </c>
      <c r="F238" s="2" t="s">
        <v>53</v>
      </c>
      <c r="G238" s="2">
        <v>17</v>
      </c>
      <c r="H238" s="2">
        <v>3483.09</v>
      </c>
      <c r="I238" s="2">
        <v>15</v>
      </c>
      <c r="J238" s="2" t="s">
        <v>30</v>
      </c>
      <c r="K238">
        <f t="shared" si="3"/>
        <v>59212.53</v>
      </c>
      <c r="L238">
        <f>K238-(K238*I238/100)</f>
        <v>50330.650500000003</v>
      </c>
    </row>
    <row r="239" spans="1:12" x14ac:dyDescent="0.25">
      <c r="A239" s="2">
        <v>10238</v>
      </c>
      <c r="B239" s="8">
        <v>45673</v>
      </c>
      <c r="C239" s="2" t="s">
        <v>42</v>
      </c>
      <c r="D239" s="2" t="s">
        <v>11</v>
      </c>
      <c r="E239" s="2" t="s">
        <v>34</v>
      </c>
      <c r="F239" s="2" t="s">
        <v>44</v>
      </c>
      <c r="G239" s="2">
        <v>16</v>
      </c>
      <c r="H239" s="2">
        <v>4026.73</v>
      </c>
      <c r="I239" s="2">
        <v>15</v>
      </c>
      <c r="J239" s="2" t="s">
        <v>30</v>
      </c>
      <c r="K239">
        <f t="shared" si="3"/>
        <v>64427.68</v>
      </c>
      <c r="L239">
        <f>K239-(K239*I239/100)</f>
        <v>54763.527999999998</v>
      </c>
    </row>
    <row r="240" spans="1:12" x14ac:dyDescent="0.25">
      <c r="A240" s="2">
        <v>10239</v>
      </c>
      <c r="B240" s="8">
        <v>45724</v>
      </c>
      <c r="C240" s="2" t="s">
        <v>32</v>
      </c>
      <c r="D240" s="2" t="s">
        <v>11</v>
      </c>
      <c r="E240" s="2" t="s">
        <v>40</v>
      </c>
      <c r="F240" s="2" t="s">
        <v>41</v>
      </c>
      <c r="G240" s="2">
        <v>15</v>
      </c>
      <c r="H240" s="2">
        <v>2880.19</v>
      </c>
      <c r="I240" s="2">
        <v>5</v>
      </c>
      <c r="J240" s="2" t="s">
        <v>14</v>
      </c>
      <c r="K240">
        <f t="shared" si="3"/>
        <v>43202.85</v>
      </c>
      <c r="L240">
        <f>K240-(K240*I240/100)</f>
        <v>41042.707499999997</v>
      </c>
    </row>
    <row r="241" spans="1:12" x14ac:dyDescent="0.25">
      <c r="A241" s="2">
        <v>10240</v>
      </c>
      <c r="B241" s="8">
        <v>45734</v>
      </c>
      <c r="C241" s="2" t="s">
        <v>31</v>
      </c>
      <c r="D241" s="2" t="s">
        <v>37</v>
      </c>
      <c r="E241" s="2" t="s">
        <v>17</v>
      </c>
      <c r="F241" s="2" t="s">
        <v>28</v>
      </c>
      <c r="G241" s="2">
        <v>19</v>
      </c>
      <c r="H241" s="2">
        <v>3338.52</v>
      </c>
      <c r="I241" s="2">
        <v>10</v>
      </c>
      <c r="J241" s="2" t="s">
        <v>19</v>
      </c>
      <c r="K241">
        <f t="shared" si="3"/>
        <v>63431.88</v>
      </c>
      <c r="L241">
        <f>K241-(K241*I241/100)</f>
        <v>57088.691999999995</v>
      </c>
    </row>
    <row r="242" spans="1:12" x14ac:dyDescent="0.25">
      <c r="A242" s="2">
        <v>10241</v>
      </c>
      <c r="B242" s="8">
        <v>45739</v>
      </c>
      <c r="C242" s="2" t="s">
        <v>42</v>
      </c>
      <c r="D242" s="2" t="s">
        <v>16</v>
      </c>
      <c r="E242" s="2" t="s">
        <v>40</v>
      </c>
      <c r="F242" s="2" t="s">
        <v>41</v>
      </c>
      <c r="G242" s="2">
        <v>3</v>
      </c>
      <c r="H242" s="2">
        <v>1268.51</v>
      </c>
      <c r="I242" s="2">
        <v>15</v>
      </c>
      <c r="J242" s="2" t="s">
        <v>14</v>
      </c>
      <c r="K242">
        <f t="shared" si="3"/>
        <v>3805.5299999999997</v>
      </c>
      <c r="L242">
        <f>K242-(K242*I242/100)</f>
        <v>3234.7004999999999</v>
      </c>
    </row>
    <row r="243" spans="1:12" x14ac:dyDescent="0.25">
      <c r="A243" s="2">
        <v>10242</v>
      </c>
      <c r="B243" s="8">
        <v>45893</v>
      </c>
      <c r="C243" s="2" t="s">
        <v>54</v>
      </c>
      <c r="D243" s="2" t="s">
        <v>52</v>
      </c>
      <c r="E243" s="2" t="s">
        <v>34</v>
      </c>
      <c r="F243" s="2" t="s">
        <v>35</v>
      </c>
      <c r="G243" s="2">
        <v>19</v>
      </c>
      <c r="H243" s="2">
        <v>3130.97</v>
      </c>
      <c r="I243" s="2">
        <v>5</v>
      </c>
      <c r="J243" s="2" t="s">
        <v>19</v>
      </c>
      <c r="K243">
        <f t="shared" si="3"/>
        <v>59488.429999999993</v>
      </c>
      <c r="L243">
        <f>K243-(K243*I243/100)</f>
        <v>56514.008499999996</v>
      </c>
    </row>
    <row r="244" spans="1:12" x14ac:dyDescent="0.25">
      <c r="A244" s="2">
        <v>10243</v>
      </c>
      <c r="B244" s="8">
        <v>45848</v>
      </c>
      <c r="C244" s="2" t="s">
        <v>42</v>
      </c>
      <c r="D244" s="2" t="s">
        <v>45</v>
      </c>
      <c r="E244" s="2" t="s">
        <v>34</v>
      </c>
      <c r="F244" s="2" t="s">
        <v>38</v>
      </c>
      <c r="G244" s="2">
        <v>3</v>
      </c>
      <c r="H244" s="2">
        <v>1172.81</v>
      </c>
      <c r="I244" s="2">
        <v>5</v>
      </c>
      <c r="J244" s="2" t="s">
        <v>19</v>
      </c>
      <c r="K244">
        <f t="shared" si="3"/>
        <v>3518.43</v>
      </c>
      <c r="L244">
        <f>K244-(K244*I244/100)</f>
        <v>3342.5084999999999</v>
      </c>
    </row>
    <row r="245" spans="1:12" x14ac:dyDescent="0.25">
      <c r="A245" s="2">
        <v>10244</v>
      </c>
      <c r="B245" s="8">
        <v>45673</v>
      </c>
      <c r="C245" s="2" t="s">
        <v>54</v>
      </c>
      <c r="D245" s="2" t="s">
        <v>25</v>
      </c>
      <c r="E245" s="2" t="s">
        <v>17</v>
      </c>
      <c r="F245" s="2" t="s">
        <v>18</v>
      </c>
      <c r="G245" s="2">
        <v>8</v>
      </c>
      <c r="H245" s="2">
        <v>720.11</v>
      </c>
      <c r="I245" s="2">
        <v>20</v>
      </c>
      <c r="J245" s="2" t="s">
        <v>19</v>
      </c>
      <c r="K245">
        <f t="shared" si="3"/>
        <v>5760.88</v>
      </c>
      <c r="L245">
        <f>K245-(K245*I245/100)</f>
        <v>4608.7039999999997</v>
      </c>
    </row>
    <row r="246" spans="1:12" x14ac:dyDescent="0.25">
      <c r="A246" s="2">
        <v>10245</v>
      </c>
      <c r="B246" s="8">
        <v>45813</v>
      </c>
      <c r="C246" s="2" t="s">
        <v>42</v>
      </c>
      <c r="D246" s="2" t="s">
        <v>47</v>
      </c>
      <c r="E246" s="2" t="s">
        <v>34</v>
      </c>
      <c r="F246" s="2" t="s">
        <v>44</v>
      </c>
      <c r="G246" s="2">
        <v>11</v>
      </c>
      <c r="H246" s="2">
        <v>4247.26</v>
      </c>
      <c r="I246" s="2">
        <v>15</v>
      </c>
      <c r="J246" s="2" t="s">
        <v>26</v>
      </c>
      <c r="K246">
        <f t="shared" si="3"/>
        <v>46719.86</v>
      </c>
      <c r="L246">
        <f>K246-(K246*I246/100)</f>
        <v>39711.881000000001</v>
      </c>
    </row>
    <row r="247" spans="1:12" x14ac:dyDescent="0.25">
      <c r="A247" s="2">
        <v>10246</v>
      </c>
      <c r="B247" s="8">
        <v>45711</v>
      </c>
      <c r="C247" s="2" t="s">
        <v>20</v>
      </c>
      <c r="D247" s="2" t="s">
        <v>37</v>
      </c>
      <c r="E247" s="2" t="s">
        <v>40</v>
      </c>
      <c r="F247" s="2" t="s">
        <v>53</v>
      </c>
      <c r="G247" s="2">
        <v>10</v>
      </c>
      <c r="H247" s="2">
        <v>2274.19</v>
      </c>
      <c r="I247" s="2">
        <v>5</v>
      </c>
      <c r="J247" s="2" t="s">
        <v>14</v>
      </c>
      <c r="K247">
        <f t="shared" si="3"/>
        <v>22741.9</v>
      </c>
      <c r="L247">
        <f>K247-(K247*I247/100)</f>
        <v>21604.805</v>
      </c>
    </row>
    <row r="248" spans="1:12" x14ac:dyDescent="0.25">
      <c r="A248" s="2">
        <v>10247</v>
      </c>
      <c r="B248" s="8">
        <v>45866</v>
      </c>
      <c r="C248" s="2" t="s">
        <v>54</v>
      </c>
      <c r="D248" s="2" t="s">
        <v>11</v>
      </c>
      <c r="E248" s="2" t="s">
        <v>34</v>
      </c>
      <c r="F248" s="2" t="s">
        <v>44</v>
      </c>
      <c r="G248" s="2">
        <v>2</v>
      </c>
      <c r="H248" s="2">
        <v>1313.3</v>
      </c>
      <c r="I248" s="2">
        <v>5</v>
      </c>
      <c r="J248" s="2" t="s">
        <v>26</v>
      </c>
      <c r="K248">
        <f t="shared" si="3"/>
        <v>2626.6</v>
      </c>
      <c r="L248">
        <f>K248-(K248*I248/100)</f>
        <v>2495.27</v>
      </c>
    </row>
    <row r="249" spans="1:12" x14ac:dyDescent="0.25">
      <c r="A249" s="2">
        <v>10248</v>
      </c>
      <c r="B249" s="8">
        <v>45836</v>
      </c>
      <c r="C249" s="2" t="s">
        <v>10</v>
      </c>
      <c r="D249" s="2" t="s">
        <v>16</v>
      </c>
      <c r="E249" s="2" t="s">
        <v>34</v>
      </c>
      <c r="F249" s="2" t="s">
        <v>35</v>
      </c>
      <c r="G249" s="2">
        <v>3</v>
      </c>
      <c r="H249" s="2">
        <v>2318.02</v>
      </c>
      <c r="I249" s="2">
        <v>20</v>
      </c>
      <c r="J249" s="2" t="s">
        <v>23</v>
      </c>
      <c r="K249">
        <f t="shared" si="3"/>
        <v>6954.0599999999995</v>
      </c>
      <c r="L249">
        <f>K249-(K249*I249/100)</f>
        <v>5563.2479999999996</v>
      </c>
    </row>
    <row r="250" spans="1:12" x14ac:dyDescent="0.25">
      <c r="A250" s="2">
        <v>10249</v>
      </c>
      <c r="B250" s="8">
        <v>45844</v>
      </c>
      <c r="C250" s="2" t="s">
        <v>24</v>
      </c>
      <c r="D250" s="2" t="s">
        <v>25</v>
      </c>
      <c r="E250" s="2" t="s">
        <v>34</v>
      </c>
      <c r="F250" s="2" t="s">
        <v>35</v>
      </c>
      <c r="G250" s="2">
        <v>19</v>
      </c>
      <c r="H250" s="2">
        <v>395.19</v>
      </c>
      <c r="I250" s="2">
        <v>0</v>
      </c>
      <c r="J250" s="2" t="s">
        <v>23</v>
      </c>
      <c r="K250">
        <f t="shared" si="3"/>
        <v>7508.61</v>
      </c>
      <c r="L250">
        <f>K250-(K250*I250/100)</f>
        <v>7508.61</v>
      </c>
    </row>
    <row r="251" spans="1:12" x14ac:dyDescent="0.25">
      <c r="A251" s="2">
        <v>10250</v>
      </c>
      <c r="B251" s="8">
        <v>45825</v>
      </c>
      <c r="C251" s="2" t="s">
        <v>31</v>
      </c>
      <c r="D251" s="2" t="s">
        <v>37</v>
      </c>
      <c r="E251" s="2" t="s">
        <v>34</v>
      </c>
      <c r="F251" s="2" t="s">
        <v>50</v>
      </c>
      <c r="G251" s="2">
        <v>5</v>
      </c>
      <c r="H251" s="2">
        <v>799.63</v>
      </c>
      <c r="I251" s="2">
        <v>0</v>
      </c>
      <c r="J251" s="2" t="s">
        <v>30</v>
      </c>
      <c r="K251">
        <f t="shared" si="3"/>
        <v>3998.15</v>
      </c>
      <c r="L251">
        <f>K251-(K251*I251/100)</f>
        <v>3998.15</v>
      </c>
    </row>
    <row r="252" spans="1:12" x14ac:dyDescent="0.25">
      <c r="A252" s="2">
        <v>10251</v>
      </c>
      <c r="B252" s="8">
        <v>45664</v>
      </c>
      <c r="C252" s="2" t="s">
        <v>24</v>
      </c>
      <c r="D252" s="2" t="s">
        <v>52</v>
      </c>
      <c r="E252" s="2" t="s">
        <v>40</v>
      </c>
      <c r="F252" s="2" t="s">
        <v>46</v>
      </c>
      <c r="G252" s="2">
        <v>12</v>
      </c>
      <c r="H252" s="2">
        <v>2807.78</v>
      </c>
      <c r="I252" s="2">
        <v>20</v>
      </c>
      <c r="J252" s="2" t="s">
        <v>19</v>
      </c>
      <c r="K252">
        <f t="shared" si="3"/>
        <v>33693.360000000001</v>
      </c>
      <c r="L252">
        <f>K252-(K252*I252/100)</f>
        <v>26954.688000000002</v>
      </c>
    </row>
    <row r="253" spans="1:12" x14ac:dyDescent="0.25">
      <c r="A253" s="2">
        <v>10252</v>
      </c>
      <c r="B253" s="8">
        <v>45688</v>
      </c>
      <c r="C253" s="2" t="s">
        <v>32</v>
      </c>
      <c r="D253" s="2" t="s">
        <v>51</v>
      </c>
      <c r="E253" s="2" t="s">
        <v>40</v>
      </c>
      <c r="F253" s="2" t="s">
        <v>41</v>
      </c>
      <c r="G253" s="2">
        <v>8</v>
      </c>
      <c r="H253" s="2">
        <v>276.88</v>
      </c>
      <c r="I253" s="2">
        <v>10</v>
      </c>
      <c r="J253" s="2" t="s">
        <v>30</v>
      </c>
      <c r="K253">
        <f t="shared" si="3"/>
        <v>2215.04</v>
      </c>
      <c r="L253">
        <f>K253-(K253*I253/100)</f>
        <v>1993.5360000000001</v>
      </c>
    </row>
    <row r="254" spans="1:12" x14ac:dyDescent="0.25">
      <c r="A254" s="2">
        <v>10253</v>
      </c>
      <c r="B254" s="8">
        <v>45772</v>
      </c>
      <c r="C254" s="2" t="s">
        <v>48</v>
      </c>
      <c r="D254" s="2" t="s">
        <v>21</v>
      </c>
      <c r="E254" s="2" t="s">
        <v>12</v>
      </c>
      <c r="F254" s="2" t="s">
        <v>56</v>
      </c>
      <c r="G254" s="2">
        <v>3</v>
      </c>
      <c r="H254" s="2">
        <v>2849.85</v>
      </c>
      <c r="I254" s="2">
        <v>5</v>
      </c>
      <c r="J254" s="2" t="s">
        <v>30</v>
      </c>
      <c r="K254">
        <f t="shared" si="3"/>
        <v>8549.5499999999993</v>
      </c>
      <c r="L254">
        <f>K254-(K254*I254/100)</f>
        <v>8122.0724999999993</v>
      </c>
    </row>
    <row r="255" spans="1:12" x14ac:dyDescent="0.25">
      <c r="A255" s="2">
        <v>10254</v>
      </c>
      <c r="B255" s="8">
        <v>45984</v>
      </c>
      <c r="C255" s="2" t="s">
        <v>54</v>
      </c>
      <c r="D255" s="2" t="s">
        <v>37</v>
      </c>
      <c r="E255" s="2" t="s">
        <v>40</v>
      </c>
      <c r="F255" s="2" t="s">
        <v>46</v>
      </c>
      <c r="G255" s="2">
        <v>3</v>
      </c>
      <c r="H255" s="2">
        <v>3441.81</v>
      </c>
      <c r="I255" s="2">
        <v>10</v>
      </c>
      <c r="J255" s="2" t="s">
        <v>30</v>
      </c>
      <c r="K255">
        <f t="shared" si="3"/>
        <v>10325.43</v>
      </c>
      <c r="L255">
        <f>K255-(K255*I255/100)</f>
        <v>9292.8870000000006</v>
      </c>
    </row>
    <row r="256" spans="1:12" x14ac:dyDescent="0.25">
      <c r="A256" s="2">
        <v>10255</v>
      </c>
      <c r="B256" s="8">
        <v>46022</v>
      </c>
      <c r="C256" s="2" t="s">
        <v>15</v>
      </c>
      <c r="D256" s="2" t="s">
        <v>21</v>
      </c>
      <c r="E256" s="2" t="s">
        <v>17</v>
      </c>
      <c r="F256" s="2" t="s">
        <v>55</v>
      </c>
      <c r="G256" s="2">
        <v>7</v>
      </c>
      <c r="H256" s="2">
        <v>3851.29</v>
      </c>
      <c r="I256" s="2">
        <v>10</v>
      </c>
      <c r="J256" s="2" t="s">
        <v>23</v>
      </c>
      <c r="K256">
        <f t="shared" si="3"/>
        <v>26959.03</v>
      </c>
      <c r="L256">
        <f>K256-(K256*I256/100)</f>
        <v>24263.127</v>
      </c>
    </row>
    <row r="257" spans="1:12" x14ac:dyDescent="0.25">
      <c r="A257" s="2">
        <v>10256</v>
      </c>
      <c r="B257" s="8">
        <v>45975</v>
      </c>
      <c r="C257" s="2" t="s">
        <v>20</v>
      </c>
      <c r="D257" s="2" t="s">
        <v>11</v>
      </c>
      <c r="E257" s="2" t="s">
        <v>17</v>
      </c>
      <c r="F257" s="2" t="s">
        <v>36</v>
      </c>
      <c r="G257" s="2">
        <v>18</v>
      </c>
      <c r="H257" s="2">
        <v>4842.1099999999997</v>
      </c>
      <c r="I257" s="2">
        <v>5</v>
      </c>
      <c r="J257" s="2" t="s">
        <v>30</v>
      </c>
      <c r="K257">
        <f t="shared" si="3"/>
        <v>87157.98</v>
      </c>
      <c r="L257">
        <f>K257-(K257*I257/100)</f>
        <v>82800.080999999991</v>
      </c>
    </row>
    <row r="258" spans="1:12" x14ac:dyDescent="0.25">
      <c r="A258" s="2">
        <v>10257</v>
      </c>
      <c r="B258" s="8">
        <v>45873</v>
      </c>
      <c r="C258" s="2" t="s">
        <v>10</v>
      </c>
      <c r="D258" s="2" t="s">
        <v>25</v>
      </c>
      <c r="E258" s="2" t="s">
        <v>40</v>
      </c>
      <c r="F258" s="2" t="s">
        <v>53</v>
      </c>
      <c r="G258" s="2">
        <v>17</v>
      </c>
      <c r="H258" s="2">
        <v>3101.55</v>
      </c>
      <c r="I258" s="2">
        <v>20</v>
      </c>
      <c r="J258" s="2" t="s">
        <v>14</v>
      </c>
      <c r="K258">
        <f t="shared" si="3"/>
        <v>52726.350000000006</v>
      </c>
      <c r="L258">
        <f>K258-(K258*I258/100)</f>
        <v>42181.08</v>
      </c>
    </row>
    <row r="259" spans="1:12" x14ac:dyDescent="0.25">
      <c r="A259" s="2">
        <v>10258</v>
      </c>
      <c r="B259" s="8">
        <v>45785</v>
      </c>
      <c r="C259" s="2" t="s">
        <v>31</v>
      </c>
      <c r="D259" s="2" t="s">
        <v>25</v>
      </c>
      <c r="E259" s="2" t="s">
        <v>34</v>
      </c>
      <c r="F259" s="2" t="s">
        <v>44</v>
      </c>
      <c r="G259" s="2">
        <v>8</v>
      </c>
      <c r="H259" s="2">
        <v>1133.76</v>
      </c>
      <c r="I259" s="2">
        <v>5</v>
      </c>
      <c r="J259" s="2" t="s">
        <v>14</v>
      </c>
      <c r="K259">
        <f t="shared" ref="K259:K322" si="4">G259*H259</f>
        <v>9070.08</v>
      </c>
      <c r="L259">
        <f>K259-(K259*I259/100)</f>
        <v>8616.5759999999991</v>
      </c>
    </row>
    <row r="260" spans="1:12" x14ac:dyDescent="0.25">
      <c r="A260" s="2">
        <v>10259</v>
      </c>
      <c r="B260" s="8">
        <v>45874</v>
      </c>
      <c r="C260" s="2" t="s">
        <v>48</v>
      </c>
      <c r="D260" s="2" t="s">
        <v>21</v>
      </c>
      <c r="E260" s="2" t="s">
        <v>12</v>
      </c>
      <c r="F260" s="2" t="s">
        <v>22</v>
      </c>
      <c r="G260" s="2">
        <v>8</v>
      </c>
      <c r="H260" s="2">
        <v>3137.58</v>
      </c>
      <c r="I260" s="2">
        <v>10</v>
      </c>
      <c r="J260" s="2" t="s">
        <v>26</v>
      </c>
      <c r="K260">
        <f t="shared" si="4"/>
        <v>25100.639999999999</v>
      </c>
      <c r="L260">
        <f>K260-(K260*I260/100)</f>
        <v>22590.576000000001</v>
      </c>
    </row>
    <row r="261" spans="1:12" x14ac:dyDescent="0.25">
      <c r="A261" s="2">
        <v>10260</v>
      </c>
      <c r="B261" s="8">
        <v>45977</v>
      </c>
      <c r="C261" s="2" t="s">
        <v>27</v>
      </c>
      <c r="D261" s="2" t="s">
        <v>21</v>
      </c>
      <c r="E261" s="2" t="s">
        <v>17</v>
      </c>
      <c r="F261" s="2" t="s">
        <v>28</v>
      </c>
      <c r="G261" s="2">
        <v>3</v>
      </c>
      <c r="H261" s="2">
        <v>107.91</v>
      </c>
      <c r="I261" s="2">
        <v>20</v>
      </c>
      <c r="J261" s="2" t="s">
        <v>30</v>
      </c>
      <c r="K261">
        <f t="shared" si="4"/>
        <v>323.73</v>
      </c>
      <c r="L261">
        <f>K261-(K261*I261/100)</f>
        <v>258.98400000000004</v>
      </c>
    </row>
    <row r="262" spans="1:12" x14ac:dyDescent="0.25">
      <c r="A262" s="2">
        <v>10261</v>
      </c>
      <c r="B262" s="8">
        <v>45907</v>
      </c>
      <c r="C262" s="2" t="s">
        <v>54</v>
      </c>
      <c r="D262" s="2" t="s">
        <v>11</v>
      </c>
      <c r="E262" s="2" t="s">
        <v>12</v>
      </c>
      <c r="F262" s="2" t="s">
        <v>22</v>
      </c>
      <c r="G262" s="2">
        <v>12</v>
      </c>
      <c r="H262" s="2">
        <v>4747.97</v>
      </c>
      <c r="I262" s="2">
        <v>10</v>
      </c>
      <c r="J262" s="2" t="s">
        <v>14</v>
      </c>
      <c r="K262">
        <f t="shared" si="4"/>
        <v>56975.64</v>
      </c>
      <c r="L262">
        <f>K262-(K262*I262/100)</f>
        <v>51278.076000000001</v>
      </c>
    </row>
    <row r="263" spans="1:12" x14ac:dyDescent="0.25">
      <c r="A263" s="2">
        <v>10262</v>
      </c>
      <c r="B263" s="8">
        <v>45790</v>
      </c>
      <c r="C263" s="2" t="s">
        <v>31</v>
      </c>
      <c r="D263" s="2" t="s">
        <v>51</v>
      </c>
      <c r="E263" s="2" t="s">
        <v>12</v>
      </c>
      <c r="F263" s="2" t="s">
        <v>33</v>
      </c>
      <c r="G263" s="2">
        <v>19</v>
      </c>
      <c r="H263" s="2">
        <v>3675.94</v>
      </c>
      <c r="I263" s="2">
        <v>20</v>
      </c>
      <c r="J263" s="2" t="s">
        <v>23</v>
      </c>
      <c r="K263">
        <f t="shared" si="4"/>
        <v>69842.86</v>
      </c>
      <c r="L263">
        <f>K263-(K263*I263/100)</f>
        <v>55874.288</v>
      </c>
    </row>
    <row r="264" spans="1:12" x14ac:dyDescent="0.25">
      <c r="A264" s="2">
        <v>10263</v>
      </c>
      <c r="B264" s="8">
        <v>45907</v>
      </c>
      <c r="C264" s="2" t="s">
        <v>10</v>
      </c>
      <c r="D264" s="2" t="s">
        <v>25</v>
      </c>
      <c r="E264" s="2" t="s">
        <v>40</v>
      </c>
      <c r="F264" s="2" t="s">
        <v>49</v>
      </c>
      <c r="G264" s="2">
        <v>16</v>
      </c>
      <c r="H264" s="2">
        <v>4025.04</v>
      </c>
      <c r="I264" s="2">
        <v>20</v>
      </c>
      <c r="J264" s="2" t="s">
        <v>26</v>
      </c>
      <c r="K264">
        <f t="shared" si="4"/>
        <v>64400.639999999999</v>
      </c>
      <c r="L264">
        <f>K264-(K264*I264/100)</f>
        <v>51520.512000000002</v>
      </c>
    </row>
    <row r="265" spans="1:12" x14ac:dyDescent="0.25">
      <c r="A265" s="2">
        <v>10264</v>
      </c>
      <c r="B265" s="8">
        <v>45894</v>
      </c>
      <c r="C265" s="2" t="s">
        <v>32</v>
      </c>
      <c r="D265" s="2" t="s">
        <v>52</v>
      </c>
      <c r="E265" s="2" t="s">
        <v>40</v>
      </c>
      <c r="F265" s="2" t="s">
        <v>49</v>
      </c>
      <c r="G265" s="2">
        <v>4</v>
      </c>
      <c r="H265" s="2">
        <v>3864.02</v>
      </c>
      <c r="I265" s="2">
        <v>15</v>
      </c>
      <c r="J265" s="2" t="s">
        <v>26</v>
      </c>
      <c r="K265">
        <f t="shared" si="4"/>
        <v>15456.08</v>
      </c>
      <c r="L265">
        <f>K265-(K265*I265/100)</f>
        <v>13137.668</v>
      </c>
    </row>
    <row r="266" spans="1:12" x14ac:dyDescent="0.25">
      <c r="A266" s="2">
        <v>10265</v>
      </c>
      <c r="B266" s="8">
        <v>45676</v>
      </c>
      <c r="C266" s="2" t="s">
        <v>54</v>
      </c>
      <c r="D266" s="2" t="s">
        <v>47</v>
      </c>
      <c r="E266" s="2" t="s">
        <v>34</v>
      </c>
      <c r="F266" s="2" t="s">
        <v>38</v>
      </c>
      <c r="G266" s="2">
        <v>5</v>
      </c>
      <c r="H266" s="2">
        <v>1333.54</v>
      </c>
      <c r="I266" s="2">
        <v>15</v>
      </c>
      <c r="J266" s="2" t="s">
        <v>19</v>
      </c>
      <c r="K266">
        <f t="shared" si="4"/>
        <v>6667.7</v>
      </c>
      <c r="L266">
        <f>K266-(K266*I266/100)</f>
        <v>5667.5450000000001</v>
      </c>
    </row>
    <row r="267" spans="1:12" x14ac:dyDescent="0.25">
      <c r="A267" s="2">
        <v>10266</v>
      </c>
      <c r="B267" s="8">
        <v>45829</v>
      </c>
      <c r="C267" s="2" t="s">
        <v>24</v>
      </c>
      <c r="D267" s="2" t="s">
        <v>45</v>
      </c>
      <c r="E267" s="2" t="s">
        <v>34</v>
      </c>
      <c r="F267" s="2" t="s">
        <v>38</v>
      </c>
      <c r="G267" s="2">
        <v>1</v>
      </c>
      <c r="H267" s="2">
        <v>4165.95</v>
      </c>
      <c r="I267" s="2">
        <v>0</v>
      </c>
      <c r="J267" s="2" t="s">
        <v>30</v>
      </c>
      <c r="K267">
        <f t="shared" si="4"/>
        <v>4165.95</v>
      </c>
      <c r="L267">
        <f>K267-(K267*I267/100)</f>
        <v>4165.95</v>
      </c>
    </row>
    <row r="268" spans="1:12" x14ac:dyDescent="0.25">
      <c r="A268" s="2">
        <v>10267</v>
      </c>
      <c r="B268" s="8">
        <v>45761</v>
      </c>
      <c r="C268" s="2" t="s">
        <v>39</v>
      </c>
      <c r="D268" s="2" t="s">
        <v>16</v>
      </c>
      <c r="E268" s="2" t="s">
        <v>12</v>
      </c>
      <c r="F268" s="2" t="s">
        <v>33</v>
      </c>
      <c r="G268" s="2">
        <v>5</v>
      </c>
      <c r="H268" s="2">
        <v>1234.1199999999999</v>
      </c>
      <c r="I268" s="2">
        <v>5</v>
      </c>
      <c r="J268" s="2" t="s">
        <v>30</v>
      </c>
      <c r="K268">
        <f t="shared" si="4"/>
        <v>6170.5999999999995</v>
      </c>
      <c r="L268">
        <f>K268-(K268*I268/100)</f>
        <v>5862.07</v>
      </c>
    </row>
    <row r="269" spans="1:12" x14ac:dyDescent="0.25">
      <c r="A269" s="2">
        <v>10268</v>
      </c>
      <c r="B269" s="8">
        <v>46022</v>
      </c>
      <c r="C269" s="2" t="s">
        <v>48</v>
      </c>
      <c r="D269" s="2" t="s">
        <v>29</v>
      </c>
      <c r="E269" s="2" t="s">
        <v>17</v>
      </c>
      <c r="F269" s="2" t="s">
        <v>28</v>
      </c>
      <c r="G269" s="2">
        <v>6</v>
      </c>
      <c r="H269" s="2">
        <v>346.51</v>
      </c>
      <c r="I269" s="2">
        <v>0</v>
      </c>
      <c r="J269" s="2" t="s">
        <v>19</v>
      </c>
      <c r="K269">
        <f t="shared" si="4"/>
        <v>2079.06</v>
      </c>
      <c r="L269">
        <f>K269-(K269*I269/100)</f>
        <v>2079.06</v>
      </c>
    </row>
    <row r="270" spans="1:12" x14ac:dyDescent="0.25">
      <c r="A270" s="2">
        <v>10269</v>
      </c>
      <c r="B270" s="8">
        <v>45698</v>
      </c>
      <c r="C270" s="2" t="s">
        <v>31</v>
      </c>
      <c r="D270" s="2" t="s">
        <v>37</v>
      </c>
      <c r="E270" s="2" t="s">
        <v>17</v>
      </c>
      <c r="F270" s="2" t="s">
        <v>55</v>
      </c>
      <c r="G270" s="2">
        <v>9</v>
      </c>
      <c r="H270" s="2">
        <v>2782.46</v>
      </c>
      <c r="I270" s="2">
        <v>10</v>
      </c>
      <c r="J270" s="2" t="s">
        <v>30</v>
      </c>
      <c r="K270">
        <f t="shared" si="4"/>
        <v>25042.14</v>
      </c>
      <c r="L270">
        <f>K270-(K270*I270/100)</f>
        <v>22537.925999999999</v>
      </c>
    </row>
    <row r="271" spans="1:12" x14ac:dyDescent="0.25">
      <c r="A271" s="2">
        <v>10270</v>
      </c>
      <c r="B271" s="8">
        <v>45987</v>
      </c>
      <c r="C271" s="2" t="s">
        <v>15</v>
      </c>
      <c r="D271" s="2" t="s">
        <v>51</v>
      </c>
      <c r="E271" s="2" t="s">
        <v>40</v>
      </c>
      <c r="F271" s="2" t="s">
        <v>49</v>
      </c>
      <c r="G271" s="2">
        <v>14</v>
      </c>
      <c r="H271" s="2">
        <v>4989.3999999999996</v>
      </c>
      <c r="I271" s="2">
        <v>0</v>
      </c>
      <c r="J271" s="2" t="s">
        <v>23</v>
      </c>
      <c r="K271">
        <f t="shared" si="4"/>
        <v>69851.599999999991</v>
      </c>
      <c r="L271">
        <f>K271-(K271*I271/100)</f>
        <v>69851.599999999991</v>
      </c>
    </row>
    <row r="272" spans="1:12" x14ac:dyDescent="0.25">
      <c r="A272" s="2">
        <v>10271</v>
      </c>
      <c r="B272" s="8">
        <v>45965</v>
      </c>
      <c r="C272" s="2" t="s">
        <v>24</v>
      </c>
      <c r="D272" s="2" t="s">
        <v>21</v>
      </c>
      <c r="E272" s="2" t="s">
        <v>12</v>
      </c>
      <c r="F272" s="2" t="s">
        <v>33</v>
      </c>
      <c r="G272" s="2">
        <v>18</v>
      </c>
      <c r="H272" s="2">
        <v>4950.07</v>
      </c>
      <c r="I272" s="2">
        <v>0</v>
      </c>
      <c r="J272" s="2" t="s">
        <v>14</v>
      </c>
      <c r="K272">
        <f t="shared" si="4"/>
        <v>89101.26</v>
      </c>
      <c r="L272">
        <f>K272-(K272*I272/100)</f>
        <v>89101.26</v>
      </c>
    </row>
    <row r="273" spans="1:12" x14ac:dyDescent="0.25">
      <c r="A273" s="2">
        <v>10272</v>
      </c>
      <c r="B273" s="8">
        <v>45828</v>
      </c>
      <c r="C273" s="2" t="s">
        <v>48</v>
      </c>
      <c r="D273" s="2" t="s">
        <v>11</v>
      </c>
      <c r="E273" s="2" t="s">
        <v>12</v>
      </c>
      <c r="F273" s="2" t="s">
        <v>56</v>
      </c>
      <c r="G273" s="2">
        <v>1</v>
      </c>
      <c r="H273" s="2">
        <v>131.38</v>
      </c>
      <c r="I273" s="2">
        <v>0</v>
      </c>
      <c r="J273" s="2" t="s">
        <v>26</v>
      </c>
      <c r="K273">
        <f t="shared" si="4"/>
        <v>131.38</v>
      </c>
      <c r="L273">
        <f>K273-(K273*I273/100)</f>
        <v>131.38</v>
      </c>
    </row>
    <row r="274" spans="1:12" x14ac:dyDescent="0.25">
      <c r="A274" s="2">
        <v>10273</v>
      </c>
      <c r="B274" s="8">
        <v>45958</v>
      </c>
      <c r="C274" s="2" t="s">
        <v>27</v>
      </c>
      <c r="D274" s="2" t="s">
        <v>11</v>
      </c>
      <c r="E274" s="2" t="s">
        <v>40</v>
      </c>
      <c r="F274" s="2" t="s">
        <v>41</v>
      </c>
      <c r="G274" s="2">
        <v>9</v>
      </c>
      <c r="H274" s="2">
        <v>363.55</v>
      </c>
      <c r="I274" s="2">
        <v>0</v>
      </c>
      <c r="J274" s="2" t="s">
        <v>14</v>
      </c>
      <c r="K274">
        <f t="shared" si="4"/>
        <v>3271.9500000000003</v>
      </c>
      <c r="L274">
        <f>K274-(K274*I274/100)</f>
        <v>3271.9500000000003</v>
      </c>
    </row>
    <row r="275" spans="1:12" x14ac:dyDescent="0.25">
      <c r="A275" s="2">
        <v>10274</v>
      </c>
      <c r="B275" s="8">
        <v>45770</v>
      </c>
      <c r="C275" s="2" t="s">
        <v>15</v>
      </c>
      <c r="D275" s="2" t="s">
        <v>45</v>
      </c>
      <c r="E275" s="2" t="s">
        <v>12</v>
      </c>
      <c r="F275" s="2" t="s">
        <v>22</v>
      </c>
      <c r="G275" s="2">
        <v>16</v>
      </c>
      <c r="H275" s="2">
        <v>2041.8</v>
      </c>
      <c r="I275" s="2">
        <v>5</v>
      </c>
      <c r="J275" s="2" t="s">
        <v>26</v>
      </c>
      <c r="K275">
        <f t="shared" si="4"/>
        <v>32668.799999999999</v>
      </c>
      <c r="L275">
        <f>K275-(K275*I275/100)</f>
        <v>31035.360000000001</v>
      </c>
    </row>
    <row r="276" spans="1:12" x14ac:dyDescent="0.25">
      <c r="A276" s="2">
        <v>10275</v>
      </c>
      <c r="B276" s="8">
        <v>45729</v>
      </c>
      <c r="C276" s="2" t="s">
        <v>15</v>
      </c>
      <c r="D276" s="2" t="s">
        <v>16</v>
      </c>
      <c r="E276" s="2" t="s">
        <v>12</v>
      </c>
      <c r="F276" s="2" t="s">
        <v>56</v>
      </c>
      <c r="G276" s="2">
        <v>7</v>
      </c>
      <c r="H276" s="2">
        <v>3258.04</v>
      </c>
      <c r="I276" s="2">
        <v>5</v>
      </c>
      <c r="J276" s="2" t="s">
        <v>14</v>
      </c>
      <c r="K276">
        <f t="shared" si="4"/>
        <v>22806.28</v>
      </c>
      <c r="L276">
        <f>K276-(K276*I276/100)</f>
        <v>21665.966</v>
      </c>
    </row>
    <row r="277" spans="1:12" x14ac:dyDescent="0.25">
      <c r="A277" s="2">
        <v>10276</v>
      </c>
      <c r="B277" s="8">
        <v>45971</v>
      </c>
      <c r="C277" s="2" t="s">
        <v>32</v>
      </c>
      <c r="D277" s="2" t="s">
        <v>52</v>
      </c>
      <c r="E277" s="2" t="s">
        <v>34</v>
      </c>
      <c r="F277" s="2" t="s">
        <v>50</v>
      </c>
      <c r="G277" s="2">
        <v>2</v>
      </c>
      <c r="H277" s="2">
        <v>2640.73</v>
      </c>
      <c r="I277" s="2">
        <v>15</v>
      </c>
      <c r="J277" s="2" t="s">
        <v>14</v>
      </c>
      <c r="K277">
        <f t="shared" si="4"/>
        <v>5281.46</v>
      </c>
      <c r="L277">
        <f>K277-(K277*I277/100)</f>
        <v>4489.241</v>
      </c>
    </row>
    <row r="278" spans="1:12" x14ac:dyDescent="0.25">
      <c r="A278" s="2">
        <v>10277</v>
      </c>
      <c r="B278" s="8">
        <v>45754</v>
      </c>
      <c r="C278" s="2" t="s">
        <v>24</v>
      </c>
      <c r="D278" s="2" t="s">
        <v>47</v>
      </c>
      <c r="E278" s="2" t="s">
        <v>17</v>
      </c>
      <c r="F278" s="2" t="s">
        <v>18</v>
      </c>
      <c r="G278" s="2">
        <v>19</v>
      </c>
      <c r="H278" s="2">
        <v>4017.26</v>
      </c>
      <c r="I278" s="2">
        <v>0</v>
      </c>
      <c r="J278" s="2" t="s">
        <v>19</v>
      </c>
      <c r="K278">
        <f t="shared" si="4"/>
        <v>76327.94</v>
      </c>
      <c r="L278">
        <f>K278-(K278*I278/100)</f>
        <v>76327.94</v>
      </c>
    </row>
    <row r="279" spans="1:12" x14ac:dyDescent="0.25">
      <c r="A279" s="2">
        <v>10278</v>
      </c>
      <c r="B279" s="8">
        <v>45932</v>
      </c>
      <c r="C279" s="2" t="s">
        <v>42</v>
      </c>
      <c r="D279" s="2" t="s">
        <v>21</v>
      </c>
      <c r="E279" s="2" t="s">
        <v>34</v>
      </c>
      <c r="F279" s="2" t="s">
        <v>35</v>
      </c>
      <c r="G279" s="2">
        <v>18</v>
      </c>
      <c r="H279" s="2">
        <v>4002.33</v>
      </c>
      <c r="I279" s="2">
        <v>5</v>
      </c>
      <c r="J279" s="2" t="s">
        <v>23</v>
      </c>
      <c r="K279">
        <f t="shared" si="4"/>
        <v>72041.94</v>
      </c>
      <c r="L279">
        <f>K279-(K279*I279/100)</f>
        <v>68439.843000000008</v>
      </c>
    </row>
    <row r="280" spans="1:12" x14ac:dyDescent="0.25">
      <c r="A280" s="2">
        <v>10279</v>
      </c>
      <c r="B280" s="8">
        <v>45878</v>
      </c>
      <c r="C280" s="2" t="s">
        <v>31</v>
      </c>
      <c r="D280" s="2" t="s">
        <v>47</v>
      </c>
      <c r="E280" s="2" t="s">
        <v>12</v>
      </c>
      <c r="F280" s="2" t="s">
        <v>13</v>
      </c>
      <c r="G280" s="2">
        <v>19</v>
      </c>
      <c r="H280" s="2">
        <v>173.76</v>
      </c>
      <c r="I280" s="2">
        <v>20</v>
      </c>
      <c r="J280" s="2" t="s">
        <v>14</v>
      </c>
      <c r="K280">
        <f t="shared" si="4"/>
        <v>3301.4399999999996</v>
      </c>
      <c r="L280">
        <f>K280-(K280*I280/100)</f>
        <v>2641.1519999999996</v>
      </c>
    </row>
    <row r="281" spans="1:12" x14ac:dyDescent="0.25">
      <c r="A281" s="2">
        <v>10280</v>
      </c>
      <c r="B281" s="8">
        <v>45946</v>
      </c>
      <c r="C281" s="2" t="s">
        <v>20</v>
      </c>
      <c r="D281" s="2" t="s">
        <v>47</v>
      </c>
      <c r="E281" s="2" t="s">
        <v>40</v>
      </c>
      <c r="F281" s="2" t="s">
        <v>53</v>
      </c>
      <c r="G281" s="2">
        <v>14</v>
      </c>
      <c r="H281" s="2">
        <v>4051.72</v>
      </c>
      <c r="I281" s="2">
        <v>15</v>
      </c>
      <c r="J281" s="2" t="s">
        <v>30</v>
      </c>
      <c r="K281">
        <f t="shared" si="4"/>
        <v>56724.079999999994</v>
      </c>
      <c r="L281">
        <f>K281-(K281*I281/100)</f>
        <v>48215.467999999993</v>
      </c>
    </row>
    <row r="282" spans="1:12" x14ac:dyDescent="0.25">
      <c r="A282" s="2">
        <v>10281</v>
      </c>
      <c r="B282" s="8">
        <v>45665</v>
      </c>
      <c r="C282" s="2" t="s">
        <v>31</v>
      </c>
      <c r="D282" s="2" t="s">
        <v>45</v>
      </c>
      <c r="E282" s="2" t="s">
        <v>17</v>
      </c>
      <c r="F282" s="2" t="s">
        <v>55</v>
      </c>
      <c r="G282" s="2">
        <v>19</v>
      </c>
      <c r="H282" s="2">
        <v>3587.63</v>
      </c>
      <c r="I282" s="2">
        <v>10</v>
      </c>
      <c r="J282" s="2" t="s">
        <v>30</v>
      </c>
      <c r="K282">
        <f t="shared" si="4"/>
        <v>68164.97</v>
      </c>
      <c r="L282">
        <f>K282-(K282*I282/100)</f>
        <v>61348.472999999998</v>
      </c>
    </row>
    <row r="283" spans="1:12" x14ac:dyDescent="0.25">
      <c r="A283" s="2">
        <v>10282</v>
      </c>
      <c r="B283" s="8">
        <v>46004</v>
      </c>
      <c r="C283" s="2" t="s">
        <v>48</v>
      </c>
      <c r="D283" s="2" t="s">
        <v>52</v>
      </c>
      <c r="E283" s="2" t="s">
        <v>40</v>
      </c>
      <c r="F283" s="2" t="s">
        <v>41</v>
      </c>
      <c r="G283" s="2">
        <v>8</v>
      </c>
      <c r="H283" s="2">
        <v>1225.97</v>
      </c>
      <c r="I283" s="2">
        <v>15</v>
      </c>
      <c r="J283" s="2" t="s">
        <v>19</v>
      </c>
      <c r="K283">
        <f t="shared" si="4"/>
        <v>9807.76</v>
      </c>
      <c r="L283">
        <f>K283-(K283*I283/100)</f>
        <v>8336.5959999999995</v>
      </c>
    </row>
    <row r="284" spans="1:12" x14ac:dyDescent="0.25">
      <c r="A284" s="2">
        <v>10283</v>
      </c>
      <c r="B284" s="8">
        <v>45788</v>
      </c>
      <c r="C284" s="2" t="s">
        <v>10</v>
      </c>
      <c r="D284" s="2" t="s">
        <v>51</v>
      </c>
      <c r="E284" s="2" t="s">
        <v>12</v>
      </c>
      <c r="F284" s="2" t="s">
        <v>56</v>
      </c>
      <c r="G284" s="2">
        <v>2</v>
      </c>
      <c r="H284" s="2">
        <v>3274.51</v>
      </c>
      <c r="I284" s="2">
        <v>15</v>
      </c>
      <c r="J284" s="2" t="s">
        <v>23</v>
      </c>
      <c r="K284">
        <f t="shared" si="4"/>
        <v>6549.02</v>
      </c>
      <c r="L284">
        <f>K284-(K284*I284/100)</f>
        <v>5566.6670000000004</v>
      </c>
    </row>
    <row r="285" spans="1:12" x14ac:dyDescent="0.25">
      <c r="A285" s="2">
        <v>10284</v>
      </c>
      <c r="B285" s="8">
        <v>45802</v>
      </c>
      <c r="C285" s="2" t="s">
        <v>43</v>
      </c>
      <c r="D285" s="2" t="s">
        <v>29</v>
      </c>
      <c r="E285" s="2" t="s">
        <v>34</v>
      </c>
      <c r="F285" s="2" t="s">
        <v>35</v>
      </c>
      <c r="G285" s="2">
        <v>13</v>
      </c>
      <c r="H285" s="2">
        <v>2658.4</v>
      </c>
      <c r="I285" s="2">
        <v>20</v>
      </c>
      <c r="J285" s="2" t="s">
        <v>19</v>
      </c>
      <c r="K285">
        <f t="shared" si="4"/>
        <v>34559.200000000004</v>
      </c>
      <c r="L285">
        <f>K285-(K285*I285/100)</f>
        <v>27647.360000000004</v>
      </c>
    </row>
    <row r="286" spans="1:12" x14ac:dyDescent="0.25">
      <c r="A286" s="2">
        <v>10285</v>
      </c>
      <c r="B286" s="8">
        <v>45829</v>
      </c>
      <c r="C286" s="2" t="s">
        <v>15</v>
      </c>
      <c r="D286" s="2" t="s">
        <v>47</v>
      </c>
      <c r="E286" s="2" t="s">
        <v>17</v>
      </c>
      <c r="F286" s="2" t="s">
        <v>55</v>
      </c>
      <c r="G286" s="2">
        <v>2</v>
      </c>
      <c r="H286" s="2">
        <v>3021.89</v>
      </c>
      <c r="I286" s="2">
        <v>0</v>
      </c>
      <c r="J286" s="2" t="s">
        <v>19</v>
      </c>
      <c r="K286">
        <f t="shared" si="4"/>
        <v>6043.78</v>
      </c>
      <c r="L286">
        <f>K286-(K286*I286/100)</f>
        <v>6043.78</v>
      </c>
    </row>
    <row r="287" spans="1:12" x14ac:dyDescent="0.25">
      <c r="A287" s="2">
        <v>10286</v>
      </c>
      <c r="B287" s="8">
        <v>45742</v>
      </c>
      <c r="C287" s="2" t="s">
        <v>15</v>
      </c>
      <c r="D287" s="2" t="s">
        <v>29</v>
      </c>
      <c r="E287" s="2" t="s">
        <v>12</v>
      </c>
      <c r="F287" s="2" t="s">
        <v>13</v>
      </c>
      <c r="G287" s="2">
        <v>3</v>
      </c>
      <c r="H287" s="2">
        <v>2865.17</v>
      </c>
      <c r="I287" s="2">
        <v>20</v>
      </c>
      <c r="J287" s="2" t="s">
        <v>23</v>
      </c>
      <c r="K287">
        <f t="shared" si="4"/>
        <v>8595.51</v>
      </c>
      <c r="L287">
        <f>K287-(K287*I287/100)</f>
        <v>6876.4080000000004</v>
      </c>
    </row>
    <row r="288" spans="1:12" x14ac:dyDescent="0.25">
      <c r="A288" s="2">
        <v>10287</v>
      </c>
      <c r="B288" s="8">
        <v>45788</v>
      </c>
      <c r="C288" s="2" t="s">
        <v>32</v>
      </c>
      <c r="D288" s="2" t="s">
        <v>21</v>
      </c>
      <c r="E288" s="2" t="s">
        <v>40</v>
      </c>
      <c r="F288" s="2" t="s">
        <v>46</v>
      </c>
      <c r="G288" s="2">
        <v>2</v>
      </c>
      <c r="H288" s="2">
        <v>4650.6899999999996</v>
      </c>
      <c r="I288" s="2">
        <v>10</v>
      </c>
      <c r="J288" s="2" t="s">
        <v>23</v>
      </c>
      <c r="K288">
        <f t="shared" si="4"/>
        <v>9301.3799999999992</v>
      </c>
      <c r="L288">
        <f>K288-(K288*I288/100)</f>
        <v>8371.2419999999984</v>
      </c>
    </row>
    <row r="289" spans="1:12" x14ac:dyDescent="0.25">
      <c r="A289" s="2">
        <v>10288</v>
      </c>
      <c r="B289" s="8">
        <v>45975</v>
      </c>
      <c r="C289" s="2" t="s">
        <v>15</v>
      </c>
      <c r="D289" s="2" t="s">
        <v>37</v>
      </c>
      <c r="E289" s="2" t="s">
        <v>17</v>
      </c>
      <c r="F289" s="2" t="s">
        <v>36</v>
      </c>
      <c r="G289" s="2">
        <v>5</v>
      </c>
      <c r="H289" s="2">
        <v>3658.09</v>
      </c>
      <c r="I289" s="2">
        <v>10</v>
      </c>
      <c r="J289" s="2" t="s">
        <v>14</v>
      </c>
      <c r="K289">
        <f t="shared" si="4"/>
        <v>18290.45</v>
      </c>
      <c r="L289">
        <f>K289-(K289*I289/100)</f>
        <v>16461.404999999999</v>
      </c>
    </row>
    <row r="290" spans="1:12" x14ac:dyDescent="0.25">
      <c r="A290" s="2">
        <v>10289</v>
      </c>
      <c r="B290" s="8">
        <v>45771</v>
      </c>
      <c r="C290" s="2" t="s">
        <v>48</v>
      </c>
      <c r="D290" s="2" t="s">
        <v>47</v>
      </c>
      <c r="E290" s="2" t="s">
        <v>12</v>
      </c>
      <c r="F290" s="2" t="s">
        <v>22</v>
      </c>
      <c r="G290" s="2">
        <v>12</v>
      </c>
      <c r="H290" s="2">
        <v>4110.67</v>
      </c>
      <c r="I290" s="2">
        <v>10</v>
      </c>
      <c r="J290" s="2" t="s">
        <v>30</v>
      </c>
      <c r="K290">
        <f t="shared" si="4"/>
        <v>49328.04</v>
      </c>
      <c r="L290">
        <f>K290-(K290*I290/100)</f>
        <v>44395.236000000004</v>
      </c>
    </row>
    <row r="291" spans="1:12" x14ac:dyDescent="0.25">
      <c r="A291" s="2">
        <v>10290</v>
      </c>
      <c r="B291" s="8">
        <v>45975</v>
      </c>
      <c r="C291" s="2" t="s">
        <v>54</v>
      </c>
      <c r="D291" s="2" t="s">
        <v>21</v>
      </c>
      <c r="E291" s="2" t="s">
        <v>17</v>
      </c>
      <c r="F291" s="2" t="s">
        <v>18</v>
      </c>
      <c r="G291" s="2">
        <v>7</v>
      </c>
      <c r="H291" s="2">
        <v>4856.88</v>
      </c>
      <c r="I291" s="2">
        <v>5</v>
      </c>
      <c r="J291" s="2" t="s">
        <v>30</v>
      </c>
      <c r="K291">
        <f t="shared" si="4"/>
        <v>33998.160000000003</v>
      </c>
      <c r="L291">
        <f>K291-(K291*I291/100)</f>
        <v>32298.252000000004</v>
      </c>
    </row>
    <row r="292" spans="1:12" x14ac:dyDescent="0.25">
      <c r="A292" s="2">
        <v>10291</v>
      </c>
      <c r="B292" s="8">
        <v>45702</v>
      </c>
      <c r="C292" s="2" t="s">
        <v>31</v>
      </c>
      <c r="D292" s="2" t="s">
        <v>11</v>
      </c>
      <c r="E292" s="2" t="s">
        <v>34</v>
      </c>
      <c r="F292" s="2" t="s">
        <v>38</v>
      </c>
      <c r="G292" s="2">
        <v>4</v>
      </c>
      <c r="H292" s="2">
        <v>686.9</v>
      </c>
      <c r="I292" s="2">
        <v>20</v>
      </c>
      <c r="J292" s="2" t="s">
        <v>14</v>
      </c>
      <c r="K292">
        <f t="shared" si="4"/>
        <v>2747.6</v>
      </c>
      <c r="L292">
        <f>K292-(K292*I292/100)</f>
        <v>2198.08</v>
      </c>
    </row>
    <row r="293" spans="1:12" x14ac:dyDescent="0.25">
      <c r="A293" s="2">
        <v>10292</v>
      </c>
      <c r="B293" s="8">
        <v>46015</v>
      </c>
      <c r="C293" s="2" t="s">
        <v>42</v>
      </c>
      <c r="D293" s="2" t="s">
        <v>29</v>
      </c>
      <c r="E293" s="2" t="s">
        <v>17</v>
      </c>
      <c r="F293" s="2" t="s">
        <v>18</v>
      </c>
      <c r="G293" s="2">
        <v>14</v>
      </c>
      <c r="H293" s="2">
        <v>4939.4799999999996</v>
      </c>
      <c r="I293" s="2">
        <v>0</v>
      </c>
      <c r="J293" s="2" t="s">
        <v>23</v>
      </c>
      <c r="K293">
        <f t="shared" si="4"/>
        <v>69152.72</v>
      </c>
      <c r="L293">
        <f>K293-(K293*I293/100)</f>
        <v>69152.72</v>
      </c>
    </row>
    <row r="294" spans="1:12" x14ac:dyDescent="0.25">
      <c r="A294" s="2">
        <v>10293</v>
      </c>
      <c r="B294" s="8">
        <v>45705</v>
      </c>
      <c r="C294" s="2" t="s">
        <v>43</v>
      </c>
      <c r="D294" s="2" t="s">
        <v>45</v>
      </c>
      <c r="E294" s="2" t="s">
        <v>40</v>
      </c>
      <c r="F294" s="2" t="s">
        <v>41</v>
      </c>
      <c r="G294" s="2">
        <v>5</v>
      </c>
      <c r="H294" s="2">
        <v>112.97</v>
      </c>
      <c r="I294" s="2">
        <v>20</v>
      </c>
      <c r="J294" s="2" t="s">
        <v>26</v>
      </c>
      <c r="K294">
        <f t="shared" si="4"/>
        <v>564.85</v>
      </c>
      <c r="L294">
        <f>K294-(K294*I294/100)</f>
        <v>451.88</v>
      </c>
    </row>
    <row r="295" spans="1:12" x14ac:dyDescent="0.25">
      <c r="A295" s="2">
        <v>10294</v>
      </c>
      <c r="B295" s="8">
        <v>45701</v>
      </c>
      <c r="C295" s="2" t="s">
        <v>27</v>
      </c>
      <c r="D295" s="2" t="s">
        <v>16</v>
      </c>
      <c r="E295" s="2" t="s">
        <v>17</v>
      </c>
      <c r="F295" s="2" t="s">
        <v>18</v>
      </c>
      <c r="G295" s="2">
        <v>12</v>
      </c>
      <c r="H295" s="2">
        <v>1110.03</v>
      </c>
      <c r="I295" s="2">
        <v>20</v>
      </c>
      <c r="J295" s="2" t="s">
        <v>19</v>
      </c>
      <c r="K295">
        <f t="shared" si="4"/>
        <v>13320.36</v>
      </c>
      <c r="L295">
        <f>K295-(K295*I295/100)</f>
        <v>10656.288</v>
      </c>
    </row>
    <row r="296" spans="1:12" x14ac:dyDescent="0.25">
      <c r="A296" s="2">
        <v>10295</v>
      </c>
      <c r="B296" s="8">
        <v>45758</v>
      </c>
      <c r="C296" s="2" t="s">
        <v>31</v>
      </c>
      <c r="D296" s="2" t="s">
        <v>37</v>
      </c>
      <c r="E296" s="2" t="s">
        <v>17</v>
      </c>
      <c r="F296" s="2" t="s">
        <v>55</v>
      </c>
      <c r="G296" s="2">
        <v>16</v>
      </c>
      <c r="H296" s="2">
        <v>3901.53</v>
      </c>
      <c r="I296" s="2">
        <v>0</v>
      </c>
      <c r="J296" s="2" t="s">
        <v>14</v>
      </c>
      <c r="K296">
        <f t="shared" si="4"/>
        <v>62424.480000000003</v>
      </c>
      <c r="L296">
        <f>K296-(K296*I296/100)</f>
        <v>62424.480000000003</v>
      </c>
    </row>
    <row r="297" spans="1:12" x14ac:dyDescent="0.25">
      <c r="A297" s="2">
        <v>10296</v>
      </c>
      <c r="B297" s="8">
        <v>45746</v>
      </c>
      <c r="C297" s="2" t="s">
        <v>10</v>
      </c>
      <c r="D297" s="2" t="s">
        <v>21</v>
      </c>
      <c r="E297" s="2" t="s">
        <v>40</v>
      </c>
      <c r="F297" s="2" t="s">
        <v>49</v>
      </c>
      <c r="G297" s="2">
        <v>20</v>
      </c>
      <c r="H297" s="2">
        <v>3728.86</v>
      </c>
      <c r="I297" s="2">
        <v>0</v>
      </c>
      <c r="J297" s="2" t="s">
        <v>14</v>
      </c>
      <c r="K297">
        <f t="shared" si="4"/>
        <v>74577.2</v>
      </c>
      <c r="L297">
        <f>K297-(K297*I297/100)</f>
        <v>74577.2</v>
      </c>
    </row>
    <row r="298" spans="1:12" x14ac:dyDescent="0.25">
      <c r="A298" s="2">
        <v>10297</v>
      </c>
      <c r="B298" s="8">
        <v>45810</v>
      </c>
      <c r="C298" s="2" t="s">
        <v>43</v>
      </c>
      <c r="D298" s="2" t="s">
        <v>16</v>
      </c>
      <c r="E298" s="2" t="s">
        <v>17</v>
      </c>
      <c r="F298" s="2" t="s">
        <v>55</v>
      </c>
      <c r="G298" s="2">
        <v>10</v>
      </c>
      <c r="H298" s="2">
        <v>4515.28</v>
      </c>
      <c r="I298" s="2">
        <v>10</v>
      </c>
      <c r="J298" s="2" t="s">
        <v>23</v>
      </c>
      <c r="K298">
        <f t="shared" si="4"/>
        <v>45152.799999999996</v>
      </c>
      <c r="L298">
        <f>K298-(K298*I298/100)</f>
        <v>40637.519999999997</v>
      </c>
    </row>
    <row r="299" spans="1:12" x14ac:dyDescent="0.25">
      <c r="A299" s="2">
        <v>10298</v>
      </c>
      <c r="B299" s="8">
        <v>45888</v>
      </c>
      <c r="C299" s="2" t="s">
        <v>31</v>
      </c>
      <c r="D299" s="2" t="s">
        <v>52</v>
      </c>
      <c r="E299" s="2" t="s">
        <v>34</v>
      </c>
      <c r="F299" s="2" t="s">
        <v>38</v>
      </c>
      <c r="G299" s="2">
        <v>19</v>
      </c>
      <c r="H299" s="2">
        <v>266.16000000000003</v>
      </c>
      <c r="I299" s="2">
        <v>10</v>
      </c>
      <c r="J299" s="2" t="s">
        <v>23</v>
      </c>
      <c r="K299">
        <f t="shared" si="4"/>
        <v>5057.0400000000009</v>
      </c>
      <c r="L299">
        <f>K299-(K299*I299/100)</f>
        <v>4551.3360000000011</v>
      </c>
    </row>
    <row r="300" spans="1:12" x14ac:dyDescent="0.25">
      <c r="A300" s="2">
        <v>10299</v>
      </c>
      <c r="B300" s="8">
        <v>45731</v>
      </c>
      <c r="C300" s="2" t="s">
        <v>24</v>
      </c>
      <c r="D300" s="2" t="s">
        <v>47</v>
      </c>
      <c r="E300" s="2" t="s">
        <v>34</v>
      </c>
      <c r="F300" s="2" t="s">
        <v>50</v>
      </c>
      <c r="G300" s="2">
        <v>16</v>
      </c>
      <c r="H300" s="2">
        <v>3438.75</v>
      </c>
      <c r="I300" s="2">
        <v>5</v>
      </c>
      <c r="J300" s="2" t="s">
        <v>26</v>
      </c>
      <c r="K300">
        <f t="shared" si="4"/>
        <v>55020</v>
      </c>
      <c r="L300">
        <f>K300-(K300*I300/100)</f>
        <v>52269</v>
      </c>
    </row>
    <row r="301" spans="1:12" x14ac:dyDescent="0.25">
      <c r="A301" s="2">
        <v>10300</v>
      </c>
      <c r="B301" s="8">
        <v>45691</v>
      </c>
      <c r="C301" s="2" t="s">
        <v>39</v>
      </c>
      <c r="D301" s="2" t="s">
        <v>16</v>
      </c>
      <c r="E301" s="2" t="s">
        <v>34</v>
      </c>
      <c r="F301" s="2" t="s">
        <v>38</v>
      </c>
      <c r="G301" s="2">
        <v>15</v>
      </c>
      <c r="H301" s="2">
        <v>1659.77</v>
      </c>
      <c r="I301" s="2">
        <v>5</v>
      </c>
      <c r="J301" s="2" t="s">
        <v>23</v>
      </c>
      <c r="K301">
        <f t="shared" si="4"/>
        <v>24896.55</v>
      </c>
      <c r="L301">
        <f>K301-(K301*I301/100)</f>
        <v>23651.7225</v>
      </c>
    </row>
    <row r="302" spans="1:12" x14ac:dyDescent="0.25">
      <c r="A302" s="2">
        <v>10301</v>
      </c>
      <c r="B302" s="8">
        <v>45908</v>
      </c>
      <c r="C302" s="2" t="s">
        <v>42</v>
      </c>
      <c r="D302" s="2" t="s">
        <v>21</v>
      </c>
      <c r="E302" s="2" t="s">
        <v>34</v>
      </c>
      <c r="F302" s="2" t="s">
        <v>44</v>
      </c>
      <c r="G302" s="2">
        <v>7</v>
      </c>
      <c r="H302" s="2">
        <v>906.46</v>
      </c>
      <c r="I302" s="2">
        <v>0</v>
      </c>
      <c r="J302" s="2" t="s">
        <v>30</v>
      </c>
      <c r="K302">
        <f t="shared" si="4"/>
        <v>6345.22</v>
      </c>
      <c r="L302">
        <f>K302-(K302*I302/100)</f>
        <v>6345.22</v>
      </c>
    </row>
    <row r="303" spans="1:12" x14ac:dyDescent="0.25">
      <c r="A303" s="2">
        <v>10302</v>
      </c>
      <c r="B303" s="8">
        <v>45810</v>
      </c>
      <c r="C303" s="2" t="s">
        <v>24</v>
      </c>
      <c r="D303" s="2" t="s">
        <v>47</v>
      </c>
      <c r="E303" s="2" t="s">
        <v>34</v>
      </c>
      <c r="F303" s="2" t="s">
        <v>35</v>
      </c>
      <c r="G303" s="2">
        <v>6</v>
      </c>
      <c r="H303" s="2">
        <v>418.4</v>
      </c>
      <c r="I303" s="2">
        <v>10</v>
      </c>
      <c r="J303" s="2" t="s">
        <v>19</v>
      </c>
      <c r="K303">
        <f t="shared" si="4"/>
        <v>2510.3999999999996</v>
      </c>
      <c r="L303">
        <f>K303-(K303*I303/100)</f>
        <v>2259.3599999999997</v>
      </c>
    </row>
    <row r="304" spans="1:12" x14ac:dyDescent="0.25">
      <c r="A304" s="2">
        <v>10303</v>
      </c>
      <c r="B304" s="8">
        <v>45770</v>
      </c>
      <c r="C304" s="2" t="s">
        <v>24</v>
      </c>
      <c r="D304" s="2" t="s">
        <v>25</v>
      </c>
      <c r="E304" s="2" t="s">
        <v>34</v>
      </c>
      <c r="F304" s="2" t="s">
        <v>50</v>
      </c>
      <c r="G304" s="2">
        <v>9</v>
      </c>
      <c r="H304" s="2">
        <v>1514.37</v>
      </c>
      <c r="I304" s="2">
        <v>5</v>
      </c>
      <c r="J304" s="2" t="s">
        <v>19</v>
      </c>
      <c r="K304">
        <f t="shared" si="4"/>
        <v>13629.329999999998</v>
      </c>
      <c r="L304">
        <f>K304-(K304*I304/100)</f>
        <v>12947.863499999998</v>
      </c>
    </row>
    <row r="305" spans="1:12" x14ac:dyDescent="0.25">
      <c r="A305" s="2">
        <v>10304</v>
      </c>
      <c r="B305" s="8">
        <v>45984</v>
      </c>
      <c r="C305" s="2" t="s">
        <v>39</v>
      </c>
      <c r="D305" s="2" t="s">
        <v>52</v>
      </c>
      <c r="E305" s="2" t="s">
        <v>34</v>
      </c>
      <c r="F305" s="2" t="s">
        <v>50</v>
      </c>
      <c r="G305" s="2">
        <v>9</v>
      </c>
      <c r="H305" s="2">
        <v>1083.8499999999999</v>
      </c>
      <c r="I305" s="2">
        <v>10</v>
      </c>
      <c r="J305" s="2" t="s">
        <v>23</v>
      </c>
      <c r="K305">
        <f t="shared" si="4"/>
        <v>9754.65</v>
      </c>
      <c r="L305">
        <f>K305-(K305*I305/100)</f>
        <v>8779.1849999999995</v>
      </c>
    </row>
    <row r="306" spans="1:12" x14ac:dyDescent="0.25">
      <c r="A306" s="2">
        <v>10305</v>
      </c>
      <c r="B306" s="8">
        <v>45699</v>
      </c>
      <c r="C306" s="2" t="s">
        <v>39</v>
      </c>
      <c r="D306" s="2" t="s">
        <v>45</v>
      </c>
      <c r="E306" s="2" t="s">
        <v>40</v>
      </c>
      <c r="F306" s="2" t="s">
        <v>41</v>
      </c>
      <c r="G306" s="2">
        <v>4</v>
      </c>
      <c r="H306" s="2">
        <v>946.72</v>
      </c>
      <c r="I306" s="2">
        <v>5</v>
      </c>
      <c r="J306" s="2" t="s">
        <v>19</v>
      </c>
      <c r="K306">
        <f t="shared" si="4"/>
        <v>3786.88</v>
      </c>
      <c r="L306">
        <f>K306-(K306*I306/100)</f>
        <v>3597.5360000000001</v>
      </c>
    </row>
    <row r="307" spans="1:12" x14ac:dyDescent="0.25">
      <c r="A307" s="2">
        <v>10306</v>
      </c>
      <c r="B307" s="8">
        <v>45961</v>
      </c>
      <c r="C307" s="2" t="s">
        <v>48</v>
      </c>
      <c r="D307" s="2" t="s">
        <v>21</v>
      </c>
      <c r="E307" s="2" t="s">
        <v>17</v>
      </c>
      <c r="F307" s="2" t="s">
        <v>28</v>
      </c>
      <c r="G307" s="2">
        <v>16</v>
      </c>
      <c r="H307" s="2">
        <v>3498.28</v>
      </c>
      <c r="I307" s="2">
        <v>15</v>
      </c>
      <c r="J307" s="2" t="s">
        <v>14</v>
      </c>
      <c r="K307">
        <f t="shared" si="4"/>
        <v>55972.480000000003</v>
      </c>
      <c r="L307">
        <f>K307-(K307*I307/100)</f>
        <v>47576.608</v>
      </c>
    </row>
    <row r="308" spans="1:12" x14ac:dyDescent="0.25">
      <c r="A308" s="2">
        <v>10307</v>
      </c>
      <c r="B308" s="8">
        <v>45814</v>
      </c>
      <c r="C308" s="2" t="s">
        <v>43</v>
      </c>
      <c r="D308" s="2" t="s">
        <v>16</v>
      </c>
      <c r="E308" s="2" t="s">
        <v>40</v>
      </c>
      <c r="F308" s="2" t="s">
        <v>46</v>
      </c>
      <c r="G308" s="2">
        <v>20</v>
      </c>
      <c r="H308" s="2">
        <v>3959.08</v>
      </c>
      <c r="I308" s="2">
        <v>5</v>
      </c>
      <c r="J308" s="2" t="s">
        <v>23</v>
      </c>
      <c r="K308">
        <f t="shared" si="4"/>
        <v>79181.600000000006</v>
      </c>
      <c r="L308">
        <f>K308-(K308*I308/100)</f>
        <v>75222.52</v>
      </c>
    </row>
    <row r="309" spans="1:12" x14ac:dyDescent="0.25">
      <c r="A309" s="2">
        <v>10308</v>
      </c>
      <c r="B309" s="8">
        <v>45800</v>
      </c>
      <c r="C309" s="2" t="s">
        <v>42</v>
      </c>
      <c r="D309" s="2" t="s">
        <v>37</v>
      </c>
      <c r="E309" s="2" t="s">
        <v>34</v>
      </c>
      <c r="F309" s="2" t="s">
        <v>38</v>
      </c>
      <c r="G309" s="2">
        <v>10</v>
      </c>
      <c r="H309" s="2">
        <v>1470.32</v>
      </c>
      <c r="I309" s="2">
        <v>0</v>
      </c>
      <c r="J309" s="2" t="s">
        <v>23</v>
      </c>
      <c r="K309">
        <f t="shared" si="4"/>
        <v>14703.199999999999</v>
      </c>
      <c r="L309">
        <f>K309-(K309*I309/100)</f>
        <v>14703.199999999999</v>
      </c>
    </row>
    <row r="310" spans="1:12" x14ac:dyDescent="0.25">
      <c r="A310" s="2">
        <v>10309</v>
      </c>
      <c r="B310" s="8">
        <v>46018</v>
      </c>
      <c r="C310" s="2" t="s">
        <v>54</v>
      </c>
      <c r="D310" s="2" t="s">
        <v>29</v>
      </c>
      <c r="E310" s="2" t="s">
        <v>40</v>
      </c>
      <c r="F310" s="2" t="s">
        <v>46</v>
      </c>
      <c r="G310" s="2">
        <v>9</v>
      </c>
      <c r="H310" s="2">
        <v>3534.72</v>
      </c>
      <c r="I310" s="2">
        <v>20</v>
      </c>
      <c r="J310" s="2" t="s">
        <v>23</v>
      </c>
      <c r="K310">
        <f t="shared" si="4"/>
        <v>31812.48</v>
      </c>
      <c r="L310">
        <f>K310-(K310*I310/100)</f>
        <v>25449.984</v>
      </c>
    </row>
    <row r="311" spans="1:12" x14ac:dyDescent="0.25">
      <c r="A311" s="2">
        <v>10310</v>
      </c>
      <c r="B311" s="8">
        <v>45869</v>
      </c>
      <c r="C311" s="2" t="s">
        <v>31</v>
      </c>
      <c r="D311" s="2" t="s">
        <v>51</v>
      </c>
      <c r="E311" s="2" t="s">
        <v>34</v>
      </c>
      <c r="F311" s="2" t="s">
        <v>44</v>
      </c>
      <c r="G311" s="2">
        <v>4</v>
      </c>
      <c r="H311" s="2">
        <v>3588.82</v>
      </c>
      <c r="I311" s="2">
        <v>10</v>
      </c>
      <c r="J311" s="2" t="s">
        <v>14</v>
      </c>
      <c r="K311">
        <f t="shared" si="4"/>
        <v>14355.28</v>
      </c>
      <c r="L311">
        <f>K311-(K311*I311/100)</f>
        <v>12919.752</v>
      </c>
    </row>
    <row r="312" spans="1:12" x14ac:dyDescent="0.25">
      <c r="A312" s="2">
        <v>10311</v>
      </c>
      <c r="B312" s="8">
        <v>45927</v>
      </c>
      <c r="C312" s="2" t="s">
        <v>24</v>
      </c>
      <c r="D312" s="2" t="s">
        <v>25</v>
      </c>
      <c r="E312" s="2" t="s">
        <v>12</v>
      </c>
      <c r="F312" s="2" t="s">
        <v>56</v>
      </c>
      <c r="G312" s="2">
        <v>9</v>
      </c>
      <c r="H312" s="2">
        <v>288.36</v>
      </c>
      <c r="I312" s="2">
        <v>15</v>
      </c>
      <c r="J312" s="2" t="s">
        <v>14</v>
      </c>
      <c r="K312">
        <f t="shared" si="4"/>
        <v>2595.2400000000002</v>
      </c>
      <c r="L312">
        <f>K312-(K312*I312/100)</f>
        <v>2205.9540000000002</v>
      </c>
    </row>
    <row r="313" spans="1:12" x14ac:dyDescent="0.25">
      <c r="A313" s="2">
        <v>10312</v>
      </c>
      <c r="B313" s="8">
        <v>45865</v>
      </c>
      <c r="C313" s="2" t="s">
        <v>39</v>
      </c>
      <c r="D313" s="2" t="s">
        <v>45</v>
      </c>
      <c r="E313" s="2" t="s">
        <v>34</v>
      </c>
      <c r="F313" s="2" t="s">
        <v>35</v>
      </c>
      <c r="G313" s="2">
        <v>17</v>
      </c>
      <c r="H313" s="2">
        <v>619.54999999999995</v>
      </c>
      <c r="I313" s="2">
        <v>0</v>
      </c>
      <c r="J313" s="2" t="s">
        <v>30</v>
      </c>
      <c r="K313">
        <f t="shared" si="4"/>
        <v>10532.349999999999</v>
      </c>
      <c r="L313">
        <f>K313-(K313*I313/100)</f>
        <v>10532.349999999999</v>
      </c>
    </row>
    <row r="314" spans="1:12" x14ac:dyDescent="0.25">
      <c r="A314" s="2">
        <v>10313</v>
      </c>
      <c r="B314" s="8">
        <v>45813</v>
      </c>
      <c r="C314" s="2" t="s">
        <v>42</v>
      </c>
      <c r="D314" s="2" t="s">
        <v>47</v>
      </c>
      <c r="E314" s="2" t="s">
        <v>17</v>
      </c>
      <c r="F314" s="2" t="s">
        <v>36</v>
      </c>
      <c r="G314" s="2">
        <v>5</v>
      </c>
      <c r="H314" s="2">
        <v>901.16</v>
      </c>
      <c r="I314" s="2">
        <v>0</v>
      </c>
      <c r="J314" s="2" t="s">
        <v>14</v>
      </c>
      <c r="K314">
        <f t="shared" si="4"/>
        <v>4505.8</v>
      </c>
      <c r="L314">
        <f>K314-(K314*I314/100)</f>
        <v>4505.8</v>
      </c>
    </row>
    <row r="315" spans="1:12" x14ac:dyDescent="0.25">
      <c r="A315" s="2">
        <v>10314</v>
      </c>
      <c r="B315" s="8">
        <v>45739</v>
      </c>
      <c r="C315" s="2" t="s">
        <v>39</v>
      </c>
      <c r="D315" s="2" t="s">
        <v>37</v>
      </c>
      <c r="E315" s="2" t="s">
        <v>17</v>
      </c>
      <c r="F315" s="2" t="s">
        <v>18</v>
      </c>
      <c r="G315" s="2">
        <v>9</v>
      </c>
      <c r="H315" s="2">
        <v>354.58</v>
      </c>
      <c r="I315" s="2">
        <v>5</v>
      </c>
      <c r="J315" s="2" t="s">
        <v>30</v>
      </c>
      <c r="K315">
        <f t="shared" si="4"/>
        <v>3191.22</v>
      </c>
      <c r="L315">
        <f>K315-(K315*I315/100)</f>
        <v>3031.6589999999997</v>
      </c>
    </row>
    <row r="316" spans="1:12" x14ac:dyDescent="0.25">
      <c r="A316" s="2">
        <v>10315</v>
      </c>
      <c r="B316" s="8">
        <v>45705</v>
      </c>
      <c r="C316" s="2" t="s">
        <v>15</v>
      </c>
      <c r="D316" s="2" t="s">
        <v>21</v>
      </c>
      <c r="E316" s="2" t="s">
        <v>40</v>
      </c>
      <c r="F316" s="2" t="s">
        <v>53</v>
      </c>
      <c r="G316" s="2">
        <v>18</v>
      </c>
      <c r="H316" s="2">
        <v>2887.53</v>
      </c>
      <c r="I316" s="2">
        <v>20</v>
      </c>
      <c r="J316" s="2" t="s">
        <v>19</v>
      </c>
      <c r="K316">
        <f t="shared" si="4"/>
        <v>51975.54</v>
      </c>
      <c r="L316">
        <f>K316-(K316*I316/100)</f>
        <v>41580.432000000001</v>
      </c>
    </row>
    <row r="317" spans="1:12" x14ac:dyDescent="0.25">
      <c r="A317" s="2">
        <v>10316</v>
      </c>
      <c r="B317" s="8">
        <v>45697</v>
      </c>
      <c r="C317" s="2" t="s">
        <v>15</v>
      </c>
      <c r="D317" s="2" t="s">
        <v>25</v>
      </c>
      <c r="E317" s="2" t="s">
        <v>34</v>
      </c>
      <c r="F317" s="2" t="s">
        <v>50</v>
      </c>
      <c r="G317" s="2">
        <v>15</v>
      </c>
      <c r="H317" s="2">
        <v>372.09</v>
      </c>
      <c r="I317" s="2">
        <v>5</v>
      </c>
      <c r="J317" s="2" t="s">
        <v>30</v>
      </c>
      <c r="K317">
        <f t="shared" si="4"/>
        <v>5581.3499999999995</v>
      </c>
      <c r="L317">
        <f>K317-(K317*I317/100)</f>
        <v>5302.2824999999993</v>
      </c>
    </row>
    <row r="318" spans="1:12" x14ac:dyDescent="0.25">
      <c r="A318" s="2">
        <v>10317</v>
      </c>
      <c r="B318" s="8">
        <v>45742</v>
      </c>
      <c r="C318" s="2" t="s">
        <v>48</v>
      </c>
      <c r="D318" s="2" t="s">
        <v>16</v>
      </c>
      <c r="E318" s="2" t="s">
        <v>34</v>
      </c>
      <c r="F318" s="2" t="s">
        <v>38</v>
      </c>
      <c r="G318" s="2">
        <v>17</v>
      </c>
      <c r="H318" s="2">
        <v>3988.47</v>
      </c>
      <c r="I318" s="2">
        <v>5</v>
      </c>
      <c r="J318" s="2" t="s">
        <v>30</v>
      </c>
      <c r="K318">
        <f t="shared" si="4"/>
        <v>67803.989999999991</v>
      </c>
      <c r="L318">
        <f>K318-(K318*I318/100)</f>
        <v>64413.790499999988</v>
      </c>
    </row>
    <row r="319" spans="1:12" x14ac:dyDescent="0.25">
      <c r="A319" s="2">
        <v>10318</v>
      </c>
      <c r="B319" s="8">
        <v>45799</v>
      </c>
      <c r="C319" s="2" t="s">
        <v>27</v>
      </c>
      <c r="D319" s="2" t="s">
        <v>25</v>
      </c>
      <c r="E319" s="2" t="s">
        <v>40</v>
      </c>
      <c r="F319" s="2" t="s">
        <v>46</v>
      </c>
      <c r="G319" s="2">
        <v>20</v>
      </c>
      <c r="H319" s="2">
        <v>1601.62</v>
      </c>
      <c r="I319" s="2">
        <v>20</v>
      </c>
      <c r="J319" s="2" t="s">
        <v>19</v>
      </c>
      <c r="K319">
        <f t="shared" si="4"/>
        <v>32032.399999999998</v>
      </c>
      <c r="L319">
        <f>K319-(K319*I319/100)</f>
        <v>25625.919999999998</v>
      </c>
    </row>
    <row r="320" spans="1:12" x14ac:dyDescent="0.25">
      <c r="A320" s="2">
        <v>10319</v>
      </c>
      <c r="B320" s="8">
        <v>45682</v>
      </c>
      <c r="C320" s="2" t="s">
        <v>43</v>
      </c>
      <c r="D320" s="2" t="s">
        <v>21</v>
      </c>
      <c r="E320" s="2" t="s">
        <v>40</v>
      </c>
      <c r="F320" s="2" t="s">
        <v>41</v>
      </c>
      <c r="G320" s="2">
        <v>1</v>
      </c>
      <c r="H320" s="2">
        <v>1195.22</v>
      </c>
      <c r="I320" s="2">
        <v>5</v>
      </c>
      <c r="J320" s="2" t="s">
        <v>30</v>
      </c>
      <c r="K320">
        <f t="shared" si="4"/>
        <v>1195.22</v>
      </c>
      <c r="L320">
        <f>K320-(K320*I320/100)</f>
        <v>1135.4590000000001</v>
      </c>
    </row>
    <row r="321" spans="1:12" x14ac:dyDescent="0.25">
      <c r="A321" s="2">
        <v>10320</v>
      </c>
      <c r="B321" s="8">
        <v>46008</v>
      </c>
      <c r="C321" s="2" t="s">
        <v>31</v>
      </c>
      <c r="D321" s="2" t="s">
        <v>51</v>
      </c>
      <c r="E321" s="2" t="s">
        <v>17</v>
      </c>
      <c r="F321" s="2" t="s">
        <v>28</v>
      </c>
      <c r="G321" s="2">
        <v>6</v>
      </c>
      <c r="H321" s="2">
        <v>1315.08</v>
      </c>
      <c r="I321" s="2">
        <v>0</v>
      </c>
      <c r="J321" s="2" t="s">
        <v>23</v>
      </c>
      <c r="K321">
        <f t="shared" si="4"/>
        <v>7890.48</v>
      </c>
      <c r="L321">
        <f>K321-(K321*I321/100)</f>
        <v>7890.48</v>
      </c>
    </row>
    <row r="322" spans="1:12" x14ac:dyDescent="0.25">
      <c r="A322" s="2">
        <v>10321</v>
      </c>
      <c r="B322" s="8">
        <v>45857</v>
      </c>
      <c r="C322" s="2" t="s">
        <v>32</v>
      </c>
      <c r="D322" s="2" t="s">
        <v>51</v>
      </c>
      <c r="E322" s="2" t="s">
        <v>40</v>
      </c>
      <c r="F322" s="2" t="s">
        <v>53</v>
      </c>
      <c r="G322" s="2">
        <v>5</v>
      </c>
      <c r="H322" s="2">
        <v>996.81</v>
      </c>
      <c r="I322" s="2">
        <v>0</v>
      </c>
      <c r="J322" s="2" t="s">
        <v>14</v>
      </c>
      <c r="K322">
        <f t="shared" si="4"/>
        <v>4984.0499999999993</v>
      </c>
      <c r="L322">
        <f>K322-(K322*I322/100)</f>
        <v>4984.0499999999993</v>
      </c>
    </row>
    <row r="323" spans="1:12" x14ac:dyDescent="0.25">
      <c r="A323" s="2">
        <v>10322</v>
      </c>
      <c r="B323" s="8">
        <v>45872</v>
      </c>
      <c r="C323" s="2" t="s">
        <v>43</v>
      </c>
      <c r="D323" s="2" t="s">
        <v>25</v>
      </c>
      <c r="E323" s="2" t="s">
        <v>17</v>
      </c>
      <c r="F323" s="2" t="s">
        <v>55</v>
      </c>
      <c r="G323" s="2">
        <v>11</v>
      </c>
      <c r="H323" s="2">
        <v>4411.74</v>
      </c>
      <c r="I323" s="2">
        <v>10</v>
      </c>
      <c r="J323" s="2" t="s">
        <v>14</v>
      </c>
      <c r="K323">
        <f t="shared" ref="K323:K386" si="5">G323*H323</f>
        <v>48529.14</v>
      </c>
      <c r="L323">
        <f>K323-(K323*I323/100)</f>
        <v>43676.225999999995</v>
      </c>
    </row>
    <row r="324" spans="1:12" x14ac:dyDescent="0.25">
      <c r="A324" s="2">
        <v>10323</v>
      </c>
      <c r="B324" s="8">
        <v>45873</v>
      </c>
      <c r="C324" s="2" t="s">
        <v>32</v>
      </c>
      <c r="D324" s="2" t="s">
        <v>47</v>
      </c>
      <c r="E324" s="2" t="s">
        <v>12</v>
      </c>
      <c r="F324" s="2" t="s">
        <v>56</v>
      </c>
      <c r="G324" s="2">
        <v>14</v>
      </c>
      <c r="H324" s="2">
        <v>53.45</v>
      </c>
      <c r="I324" s="2">
        <v>5</v>
      </c>
      <c r="J324" s="2" t="s">
        <v>30</v>
      </c>
      <c r="K324">
        <f t="shared" si="5"/>
        <v>748.30000000000007</v>
      </c>
      <c r="L324">
        <f>K324-(K324*I324/100)</f>
        <v>710.8850000000001</v>
      </c>
    </row>
    <row r="325" spans="1:12" x14ac:dyDescent="0.25">
      <c r="A325" s="2">
        <v>10324</v>
      </c>
      <c r="B325" s="8">
        <v>45716</v>
      </c>
      <c r="C325" s="2" t="s">
        <v>31</v>
      </c>
      <c r="D325" s="2" t="s">
        <v>16</v>
      </c>
      <c r="E325" s="2" t="s">
        <v>34</v>
      </c>
      <c r="F325" s="2" t="s">
        <v>50</v>
      </c>
      <c r="G325" s="2">
        <v>18</v>
      </c>
      <c r="H325" s="2">
        <v>3546.07</v>
      </c>
      <c r="I325" s="2">
        <v>15</v>
      </c>
      <c r="J325" s="2" t="s">
        <v>19</v>
      </c>
      <c r="K325">
        <f t="shared" si="5"/>
        <v>63829.26</v>
      </c>
      <c r="L325">
        <f>K325-(K325*I325/100)</f>
        <v>54254.870999999999</v>
      </c>
    </row>
    <row r="326" spans="1:12" x14ac:dyDescent="0.25">
      <c r="A326" s="2">
        <v>10325</v>
      </c>
      <c r="B326" s="8">
        <v>45890</v>
      </c>
      <c r="C326" s="2" t="s">
        <v>27</v>
      </c>
      <c r="D326" s="2" t="s">
        <v>21</v>
      </c>
      <c r="E326" s="2" t="s">
        <v>12</v>
      </c>
      <c r="F326" s="2" t="s">
        <v>33</v>
      </c>
      <c r="G326" s="2">
        <v>8</v>
      </c>
      <c r="H326" s="2">
        <v>3024.55</v>
      </c>
      <c r="I326" s="2">
        <v>15</v>
      </c>
      <c r="J326" s="2" t="s">
        <v>23</v>
      </c>
      <c r="K326">
        <f t="shared" si="5"/>
        <v>24196.400000000001</v>
      </c>
      <c r="L326">
        <f>K326-(K326*I326/100)</f>
        <v>20566.940000000002</v>
      </c>
    </row>
    <row r="327" spans="1:12" x14ac:dyDescent="0.25">
      <c r="A327" s="2">
        <v>10326</v>
      </c>
      <c r="B327" s="8">
        <v>45703</v>
      </c>
      <c r="C327" s="2" t="s">
        <v>27</v>
      </c>
      <c r="D327" s="2" t="s">
        <v>37</v>
      </c>
      <c r="E327" s="2" t="s">
        <v>17</v>
      </c>
      <c r="F327" s="2" t="s">
        <v>28</v>
      </c>
      <c r="G327" s="2">
        <v>14</v>
      </c>
      <c r="H327" s="2">
        <v>2971.55</v>
      </c>
      <c r="I327" s="2">
        <v>20</v>
      </c>
      <c r="J327" s="2" t="s">
        <v>14</v>
      </c>
      <c r="K327">
        <f t="shared" si="5"/>
        <v>41601.700000000004</v>
      </c>
      <c r="L327">
        <f>K327-(K327*I327/100)</f>
        <v>33281.360000000001</v>
      </c>
    </row>
    <row r="328" spans="1:12" x14ac:dyDescent="0.25">
      <c r="A328" s="2">
        <v>10327</v>
      </c>
      <c r="B328" s="8">
        <v>45843</v>
      </c>
      <c r="C328" s="2" t="s">
        <v>31</v>
      </c>
      <c r="D328" s="2" t="s">
        <v>21</v>
      </c>
      <c r="E328" s="2" t="s">
        <v>12</v>
      </c>
      <c r="F328" s="2" t="s">
        <v>33</v>
      </c>
      <c r="G328" s="2">
        <v>15</v>
      </c>
      <c r="H328" s="2">
        <v>2384.77</v>
      </c>
      <c r="I328" s="2">
        <v>20</v>
      </c>
      <c r="J328" s="2" t="s">
        <v>30</v>
      </c>
      <c r="K328">
        <f t="shared" si="5"/>
        <v>35771.550000000003</v>
      </c>
      <c r="L328">
        <f>K328-(K328*I328/100)</f>
        <v>28617.24</v>
      </c>
    </row>
    <row r="329" spans="1:12" x14ac:dyDescent="0.25">
      <c r="A329" s="2">
        <v>10328</v>
      </c>
      <c r="B329" s="8">
        <v>45963</v>
      </c>
      <c r="C329" s="2" t="s">
        <v>32</v>
      </c>
      <c r="D329" s="2" t="s">
        <v>37</v>
      </c>
      <c r="E329" s="2" t="s">
        <v>17</v>
      </c>
      <c r="F329" s="2" t="s">
        <v>18</v>
      </c>
      <c r="G329" s="2">
        <v>4</v>
      </c>
      <c r="H329" s="2">
        <v>3719.94</v>
      </c>
      <c r="I329" s="2">
        <v>15</v>
      </c>
      <c r="J329" s="2" t="s">
        <v>30</v>
      </c>
      <c r="K329">
        <f t="shared" si="5"/>
        <v>14879.76</v>
      </c>
      <c r="L329">
        <f>K329-(K329*I329/100)</f>
        <v>12647.796</v>
      </c>
    </row>
    <row r="330" spans="1:12" x14ac:dyDescent="0.25">
      <c r="A330" s="2">
        <v>10329</v>
      </c>
      <c r="B330" s="8">
        <v>45788</v>
      </c>
      <c r="C330" s="2" t="s">
        <v>24</v>
      </c>
      <c r="D330" s="2" t="s">
        <v>47</v>
      </c>
      <c r="E330" s="2" t="s">
        <v>12</v>
      </c>
      <c r="F330" s="2" t="s">
        <v>56</v>
      </c>
      <c r="G330" s="2">
        <v>6</v>
      </c>
      <c r="H330" s="2">
        <v>906.24</v>
      </c>
      <c r="I330" s="2">
        <v>5</v>
      </c>
      <c r="J330" s="2" t="s">
        <v>14</v>
      </c>
      <c r="K330">
        <f t="shared" si="5"/>
        <v>5437.4400000000005</v>
      </c>
      <c r="L330">
        <f>K330-(K330*I330/100)</f>
        <v>5165.5680000000002</v>
      </c>
    </row>
    <row r="331" spans="1:12" x14ac:dyDescent="0.25">
      <c r="A331" s="2">
        <v>10330</v>
      </c>
      <c r="B331" s="8">
        <v>45869</v>
      </c>
      <c r="C331" s="2" t="s">
        <v>10</v>
      </c>
      <c r="D331" s="2" t="s">
        <v>16</v>
      </c>
      <c r="E331" s="2" t="s">
        <v>40</v>
      </c>
      <c r="F331" s="2" t="s">
        <v>41</v>
      </c>
      <c r="G331" s="2">
        <v>18</v>
      </c>
      <c r="H331" s="2">
        <v>3544.36</v>
      </c>
      <c r="I331" s="2">
        <v>15</v>
      </c>
      <c r="J331" s="2" t="s">
        <v>19</v>
      </c>
      <c r="K331">
        <f t="shared" si="5"/>
        <v>63798.48</v>
      </c>
      <c r="L331">
        <f>K331-(K331*I331/100)</f>
        <v>54228.707999999999</v>
      </c>
    </row>
    <row r="332" spans="1:12" x14ac:dyDescent="0.25">
      <c r="A332" s="2">
        <v>10331</v>
      </c>
      <c r="B332" s="8">
        <v>45773</v>
      </c>
      <c r="C332" s="2" t="s">
        <v>54</v>
      </c>
      <c r="D332" s="2" t="s">
        <v>52</v>
      </c>
      <c r="E332" s="2" t="s">
        <v>40</v>
      </c>
      <c r="F332" s="2" t="s">
        <v>53</v>
      </c>
      <c r="G332" s="2">
        <v>20</v>
      </c>
      <c r="H332" s="2">
        <v>3881.42</v>
      </c>
      <c r="I332" s="2">
        <v>20</v>
      </c>
      <c r="J332" s="2" t="s">
        <v>26</v>
      </c>
      <c r="K332">
        <f t="shared" si="5"/>
        <v>77628.399999999994</v>
      </c>
      <c r="L332">
        <f>K332-(K332*I332/100)</f>
        <v>62102.719999999994</v>
      </c>
    </row>
    <row r="333" spans="1:12" x14ac:dyDescent="0.25">
      <c r="A333" s="2">
        <v>10332</v>
      </c>
      <c r="B333" s="8">
        <v>45930</v>
      </c>
      <c r="C333" s="2" t="s">
        <v>32</v>
      </c>
      <c r="D333" s="2" t="s">
        <v>45</v>
      </c>
      <c r="E333" s="2" t="s">
        <v>40</v>
      </c>
      <c r="F333" s="2" t="s">
        <v>49</v>
      </c>
      <c r="G333" s="2">
        <v>10</v>
      </c>
      <c r="H333" s="2">
        <v>3041.48</v>
      </c>
      <c r="I333" s="2">
        <v>10</v>
      </c>
      <c r="J333" s="2" t="s">
        <v>26</v>
      </c>
      <c r="K333">
        <f t="shared" si="5"/>
        <v>30414.799999999999</v>
      </c>
      <c r="L333">
        <f>K333-(K333*I333/100)</f>
        <v>27373.32</v>
      </c>
    </row>
    <row r="334" spans="1:12" x14ac:dyDescent="0.25">
      <c r="A334" s="2">
        <v>10333</v>
      </c>
      <c r="B334" s="8">
        <v>45717</v>
      </c>
      <c r="C334" s="2" t="s">
        <v>15</v>
      </c>
      <c r="D334" s="2" t="s">
        <v>11</v>
      </c>
      <c r="E334" s="2" t="s">
        <v>17</v>
      </c>
      <c r="F334" s="2" t="s">
        <v>18</v>
      </c>
      <c r="G334" s="2">
        <v>11</v>
      </c>
      <c r="H334" s="2">
        <v>2298.02</v>
      </c>
      <c r="I334" s="2">
        <v>5</v>
      </c>
      <c r="J334" s="2" t="s">
        <v>19</v>
      </c>
      <c r="K334">
        <f t="shared" si="5"/>
        <v>25278.22</v>
      </c>
      <c r="L334">
        <f>K334-(K334*I334/100)</f>
        <v>24014.309000000001</v>
      </c>
    </row>
    <row r="335" spans="1:12" x14ac:dyDescent="0.25">
      <c r="A335" s="2">
        <v>10334</v>
      </c>
      <c r="B335" s="8">
        <v>45801</v>
      </c>
      <c r="C335" s="2" t="s">
        <v>48</v>
      </c>
      <c r="D335" s="2" t="s">
        <v>29</v>
      </c>
      <c r="E335" s="2" t="s">
        <v>17</v>
      </c>
      <c r="F335" s="2" t="s">
        <v>18</v>
      </c>
      <c r="G335" s="2">
        <v>15</v>
      </c>
      <c r="H335" s="2">
        <v>4311.97</v>
      </c>
      <c r="I335" s="2">
        <v>15</v>
      </c>
      <c r="J335" s="2" t="s">
        <v>19</v>
      </c>
      <c r="K335">
        <f t="shared" si="5"/>
        <v>64679.55</v>
      </c>
      <c r="L335">
        <f>K335-(K335*I335/100)</f>
        <v>54977.6175</v>
      </c>
    </row>
    <row r="336" spans="1:12" x14ac:dyDescent="0.25">
      <c r="A336" s="2">
        <v>10335</v>
      </c>
      <c r="B336" s="8">
        <v>45760</v>
      </c>
      <c r="C336" s="2" t="s">
        <v>15</v>
      </c>
      <c r="D336" s="2" t="s">
        <v>37</v>
      </c>
      <c r="E336" s="2" t="s">
        <v>40</v>
      </c>
      <c r="F336" s="2" t="s">
        <v>49</v>
      </c>
      <c r="G336" s="2">
        <v>7</v>
      </c>
      <c r="H336" s="2">
        <v>4920.38</v>
      </c>
      <c r="I336" s="2">
        <v>15</v>
      </c>
      <c r="J336" s="2" t="s">
        <v>23</v>
      </c>
      <c r="K336">
        <f t="shared" si="5"/>
        <v>34442.660000000003</v>
      </c>
      <c r="L336">
        <f>K336-(K336*I336/100)</f>
        <v>29276.261000000002</v>
      </c>
    </row>
    <row r="337" spans="1:12" x14ac:dyDescent="0.25">
      <c r="A337" s="2">
        <v>10336</v>
      </c>
      <c r="B337" s="8">
        <v>45678</v>
      </c>
      <c r="C337" s="2" t="s">
        <v>48</v>
      </c>
      <c r="D337" s="2" t="s">
        <v>47</v>
      </c>
      <c r="E337" s="2" t="s">
        <v>17</v>
      </c>
      <c r="F337" s="2" t="s">
        <v>28</v>
      </c>
      <c r="G337" s="2">
        <v>14</v>
      </c>
      <c r="H337" s="2">
        <v>4049.14</v>
      </c>
      <c r="I337" s="2">
        <v>10</v>
      </c>
      <c r="J337" s="2" t="s">
        <v>14</v>
      </c>
      <c r="K337">
        <f t="shared" si="5"/>
        <v>56687.96</v>
      </c>
      <c r="L337">
        <f>K337-(K337*I337/100)</f>
        <v>51019.163999999997</v>
      </c>
    </row>
    <row r="338" spans="1:12" x14ac:dyDescent="0.25">
      <c r="A338" s="2">
        <v>10337</v>
      </c>
      <c r="B338" s="8">
        <v>45767</v>
      </c>
      <c r="C338" s="2" t="s">
        <v>42</v>
      </c>
      <c r="D338" s="2" t="s">
        <v>11</v>
      </c>
      <c r="E338" s="2" t="s">
        <v>34</v>
      </c>
      <c r="F338" s="2" t="s">
        <v>44</v>
      </c>
      <c r="G338" s="2">
        <v>7</v>
      </c>
      <c r="H338" s="2">
        <v>4474.88</v>
      </c>
      <c r="I338" s="2">
        <v>10</v>
      </c>
      <c r="J338" s="2" t="s">
        <v>30</v>
      </c>
      <c r="K338">
        <f t="shared" si="5"/>
        <v>31324.16</v>
      </c>
      <c r="L338">
        <f>K338-(K338*I338/100)</f>
        <v>28191.743999999999</v>
      </c>
    </row>
    <row r="339" spans="1:12" x14ac:dyDescent="0.25">
      <c r="A339" s="2">
        <v>10338</v>
      </c>
      <c r="B339" s="8">
        <v>45774</v>
      </c>
      <c r="C339" s="2" t="s">
        <v>42</v>
      </c>
      <c r="D339" s="2" t="s">
        <v>21</v>
      </c>
      <c r="E339" s="2" t="s">
        <v>12</v>
      </c>
      <c r="F339" s="2" t="s">
        <v>22</v>
      </c>
      <c r="G339" s="2">
        <v>17</v>
      </c>
      <c r="H339" s="2">
        <v>2675.44</v>
      </c>
      <c r="I339" s="2">
        <v>20</v>
      </c>
      <c r="J339" s="2" t="s">
        <v>30</v>
      </c>
      <c r="K339">
        <f t="shared" si="5"/>
        <v>45482.48</v>
      </c>
      <c r="L339">
        <f>K339-(K339*I339/100)</f>
        <v>36385.984000000004</v>
      </c>
    </row>
    <row r="340" spans="1:12" x14ac:dyDescent="0.25">
      <c r="A340" s="2">
        <v>10339</v>
      </c>
      <c r="B340" s="8">
        <v>45862</v>
      </c>
      <c r="C340" s="2" t="s">
        <v>10</v>
      </c>
      <c r="D340" s="2" t="s">
        <v>29</v>
      </c>
      <c r="E340" s="2" t="s">
        <v>34</v>
      </c>
      <c r="F340" s="2" t="s">
        <v>38</v>
      </c>
      <c r="G340" s="2">
        <v>3</v>
      </c>
      <c r="H340" s="2">
        <v>4333.07</v>
      </c>
      <c r="I340" s="2">
        <v>5</v>
      </c>
      <c r="J340" s="2" t="s">
        <v>23</v>
      </c>
      <c r="K340">
        <f t="shared" si="5"/>
        <v>12999.21</v>
      </c>
      <c r="L340">
        <f>K340-(K340*I340/100)</f>
        <v>12349.2495</v>
      </c>
    </row>
    <row r="341" spans="1:12" x14ac:dyDescent="0.25">
      <c r="A341" s="2">
        <v>10340</v>
      </c>
      <c r="B341" s="8">
        <v>46004</v>
      </c>
      <c r="C341" s="2" t="s">
        <v>32</v>
      </c>
      <c r="D341" s="2" t="s">
        <v>21</v>
      </c>
      <c r="E341" s="2" t="s">
        <v>34</v>
      </c>
      <c r="F341" s="2" t="s">
        <v>35</v>
      </c>
      <c r="G341" s="2">
        <v>14</v>
      </c>
      <c r="H341" s="2">
        <v>3144.55</v>
      </c>
      <c r="I341" s="2">
        <v>10</v>
      </c>
      <c r="J341" s="2" t="s">
        <v>14</v>
      </c>
      <c r="K341">
        <f t="shared" si="5"/>
        <v>44023.700000000004</v>
      </c>
      <c r="L341">
        <f>K341-(K341*I341/100)</f>
        <v>39621.33</v>
      </c>
    </row>
    <row r="342" spans="1:12" x14ac:dyDescent="0.25">
      <c r="A342" s="2">
        <v>10341</v>
      </c>
      <c r="B342" s="8">
        <v>45687</v>
      </c>
      <c r="C342" s="2" t="s">
        <v>10</v>
      </c>
      <c r="D342" s="2" t="s">
        <v>11</v>
      </c>
      <c r="E342" s="2" t="s">
        <v>17</v>
      </c>
      <c r="F342" s="2" t="s">
        <v>36</v>
      </c>
      <c r="G342" s="2">
        <v>12</v>
      </c>
      <c r="H342" s="2">
        <v>3812.41</v>
      </c>
      <c r="I342" s="2">
        <v>0</v>
      </c>
      <c r="J342" s="2" t="s">
        <v>23</v>
      </c>
      <c r="K342">
        <f t="shared" si="5"/>
        <v>45748.92</v>
      </c>
      <c r="L342">
        <f>K342-(K342*I342/100)</f>
        <v>45748.92</v>
      </c>
    </row>
    <row r="343" spans="1:12" x14ac:dyDescent="0.25">
      <c r="A343" s="2">
        <v>10342</v>
      </c>
      <c r="B343" s="8">
        <v>45825</v>
      </c>
      <c r="C343" s="2" t="s">
        <v>24</v>
      </c>
      <c r="D343" s="2" t="s">
        <v>52</v>
      </c>
      <c r="E343" s="2" t="s">
        <v>34</v>
      </c>
      <c r="F343" s="2" t="s">
        <v>50</v>
      </c>
      <c r="G343" s="2">
        <v>10</v>
      </c>
      <c r="H343" s="2">
        <v>679.76</v>
      </c>
      <c r="I343" s="2">
        <v>20</v>
      </c>
      <c r="J343" s="2" t="s">
        <v>14</v>
      </c>
      <c r="K343">
        <f t="shared" si="5"/>
        <v>6797.6</v>
      </c>
      <c r="L343">
        <f>K343-(K343*I343/100)</f>
        <v>5438.08</v>
      </c>
    </row>
    <row r="344" spans="1:12" x14ac:dyDescent="0.25">
      <c r="A344" s="2">
        <v>10343</v>
      </c>
      <c r="B344" s="8">
        <v>45974</v>
      </c>
      <c r="C344" s="2" t="s">
        <v>48</v>
      </c>
      <c r="D344" s="2" t="s">
        <v>51</v>
      </c>
      <c r="E344" s="2" t="s">
        <v>12</v>
      </c>
      <c r="F344" s="2" t="s">
        <v>22</v>
      </c>
      <c r="G344" s="2">
        <v>10</v>
      </c>
      <c r="H344" s="2">
        <v>4762.7299999999996</v>
      </c>
      <c r="I344" s="2">
        <v>0</v>
      </c>
      <c r="J344" s="2" t="s">
        <v>14</v>
      </c>
      <c r="K344">
        <f t="shared" si="5"/>
        <v>47627.299999999996</v>
      </c>
      <c r="L344">
        <f>K344-(K344*I344/100)</f>
        <v>47627.299999999996</v>
      </c>
    </row>
    <row r="345" spans="1:12" x14ac:dyDescent="0.25">
      <c r="A345" s="2">
        <v>10344</v>
      </c>
      <c r="B345" s="8">
        <v>45894</v>
      </c>
      <c r="C345" s="2" t="s">
        <v>32</v>
      </c>
      <c r="D345" s="2" t="s">
        <v>47</v>
      </c>
      <c r="E345" s="2" t="s">
        <v>40</v>
      </c>
      <c r="F345" s="2" t="s">
        <v>53</v>
      </c>
      <c r="G345" s="2">
        <v>3</v>
      </c>
      <c r="H345" s="2">
        <v>908.43</v>
      </c>
      <c r="I345" s="2">
        <v>15</v>
      </c>
      <c r="J345" s="2" t="s">
        <v>14</v>
      </c>
      <c r="K345">
        <f t="shared" si="5"/>
        <v>2725.29</v>
      </c>
      <c r="L345">
        <f>K345-(K345*I345/100)</f>
        <v>2316.4965000000002</v>
      </c>
    </row>
    <row r="346" spans="1:12" x14ac:dyDescent="0.25">
      <c r="A346" s="2">
        <v>10345</v>
      </c>
      <c r="B346" s="8">
        <v>45702</v>
      </c>
      <c r="C346" s="2" t="s">
        <v>20</v>
      </c>
      <c r="D346" s="2" t="s">
        <v>45</v>
      </c>
      <c r="E346" s="2" t="s">
        <v>17</v>
      </c>
      <c r="F346" s="2" t="s">
        <v>28</v>
      </c>
      <c r="G346" s="2">
        <v>20</v>
      </c>
      <c r="H346" s="2">
        <v>3140.61</v>
      </c>
      <c r="I346" s="2">
        <v>20</v>
      </c>
      <c r="J346" s="2" t="s">
        <v>26</v>
      </c>
      <c r="K346">
        <f t="shared" si="5"/>
        <v>62812.200000000004</v>
      </c>
      <c r="L346">
        <f>K346-(K346*I346/100)</f>
        <v>50249.760000000002</v>
      </c>
    </row>
    <row r="347" spans="1:12" x14ac:dyDescent="0.25">
      <c r="A347" s="2">
        <v>10346</v>
      </c>
      <c r="B347" s="8">
        <v>45766</v>
      </c>
      <c r="C347" s="2" t="s">
        <v>54</v>
      </c>
      <c r="D347" s="2" t="s">
        <v>21</v>
      </c>
      <c r="E347" s="2" t="s">
        <v>40</v>
      </c>
      <c r="F347" s="2" t="s">
        <v>49</v>
      </c>
      <c r="G347" s="2">
        <v>16</v>
      </c>
      <c r="H347" s="2">
        <v>346.02</v>
      </c>
      <c r="I347" s="2">
        <v>20</v>
      </c>
      <c r="J347" s="2" t="s">
        <v>14</v>
      </c>
      <c r="K347">
        <f t="shared" si="5"/>
        <v>5536.32</v>
      </c>
      <c r="L347">
        <f>K347-(K347*I347/100)</f>
        <v>4429.0559999999996</v>
      </c>
    </row>
    <row r="348" spans="1:12" x14ac:dyDescent="0.25">
      <c r="A348" s="2">
        <v>10347</v>
      </c>
      <c r="B348" s="8">
        <v>45971</v>
      </c>
      <c r="C348" s="2" t="s">
        <v>31</v>
      </c>
      <c r="D348" s="2" t="s">
        <v>47</v>
      </c>
      <c r="E348" s="2" t="s">
        <v>12</v>
      </c>
      <c r="F348" s="2" t="s">
        <v>56</v>
      </c>
      <c r="G348" s="2">
        <v>6</v>
      </c>
      <c r="H348" s="2">
        <v>4153.09</v>
      </c>
      <c r="I348" s="2">
        <v>10</v>
      </c>
      <c r="J348" s="2" t="s">
        <v>14</v>
      </c>
      <c r="K348">
        <f t="shared" si="5"/>
        <v>24918.54</v>
      </c>
      <c r="L348">
        <f>K348-(K348*I348/100)</f>
        <v>22426.686000000002</v>
      </c>
    </row>
    <row r="349" spans="1:12" x14ac:dyDescent="0.25">
      <c r="A349" s="2">
        <v>10348</v>
      </c>
      <c r="B349" s="8">
        <v>45730</v>
      </c>
      <c r="C349" s="2" t="s">
        <v>32</v>
      </c>
      <c r="D349" s="2" t="s">
        <v>21</v>
      </c>
      <c r="E349" s="2" t="s">
        <v>17</v>
      </c>
      <c r="F349" s="2" t="s">
        <v>28</v>
      </c>
      <c r="G349" s="2">
        <v>15</v>
      </c>
      <c r="H349" s="2">
        <v>4991.5600000000004</v>
      </c>
      <c r="I349" s="2">
        <v>15</v>
      </c>
      <c r="J349" s="2" t="s">
        <v>26</v>
      </c>
      <c r="K349">
        <f t="shared" si="5"/>
        <v>74873.400000000009</v>
      </c>
      <c r="L349">
        <f>K349-(K349*I349/100)</f>
        <v>63642.390000000007</v>
      </c>
    </row>
    <row r="350" spans="1:12" x14ac:dyDescent="0.25">
      <c r="A350" s="2">
        <v>10349</v>
      </c>
      <c r="B350" s="8">
        <v>45830</v>
      </c>
      <c r="C350" s="2" t="s">
        <v>10</v>
      </c>
      <c r="D350" s="2" t="s">
        <v>47</v>
      </c>
      <c r="E350" s="2" t="s">
        <v>12</v>
      </c>
      <c r="F350" s="2" t="s">
        <v>13</v>
      </c>
      <c r="G350" s="2">
        <v>19</v>
      </c>
      <c r="H350" s="2">
        <v>4103.16</v>
      </c>
      <c r="I350" s="2">
        <v>10</v>
      </c>
      <c r="J350" s="2" t="s">
        <v>23</v>
      </c>
      <c r="K350">
        <f t="shared" si="5"/>
        <v>77960.039999999994</v>
      </c>
      <c r="L350">
        <f>K350-(K350*I350/100)</f>
        <v>70164.035999999993</v>
      </c>
    </row>
    <row r="351" spans="1:12" x14ac:dyDescent="0.25">
      <c r="A351" s="2">
        <v>10350</v>
      </c>
      <c r="B351" s="8">
        <v>45968</v>
      </c>
      <c r="C351" s="2" t="s">
        <v>20</v>
      </c>
      <c r="D351" s="2" t="s">
        <v>47</v>
      </c>
      <c r="E351" s="2" t="s">
        <v>40</v>
      </c>
      <c r="F351" s="2" t="s">
        <v>41</v>
      </c>
      <c r="G351" s="2">
        <v>6</v>
      </c>
      <c r="H351" s="2">
        <v>1384.2</v>
      </c>
      <c r="I351" s="2">
        <v>20</v>
      </c>
      <c r="J351" s="2" t="s">
        <v>26</v>
      </c>
      <c r="K351">
        <f t="shared" si="5"/>
        <v>8305.2000000000007</v>
      </c>
      <c r="L351">
        <f>K351-(K351*I351/100)</f>
        <v>6644.1600000000008</v>
      </c>
    </row>
    <row r="352" spans="1:12" x14ac:dyDescent="0.25">
      <c r="A352" s="2">
        <v>10351</v>
      </c>
      <c r="B352" s="8">
        <v>45928</v>
      </c>
      <c r="C352" s="2" t="s">
        <v>31</v>
      </c>
      <c r="D352" s="2" t="s">
        <v>37</v>
      </c>
      <c r="E352" s="2" t="s">
        <v>34</v>
      </c>
      <c r="F352" s="2" t="s">
        <v>50</v>
      </c>
      <c r="G352" s="2">
        <v>7</v>
      </c>
      <c r="H352" s="2">
        <v>315.95</v>
      </c>
      <c r="I352" s="2">
        <v>5</v>
      </c>
      <c r="J352" s="2" t="s">
        <v>14</v>
      </c>
      <c r="K352">
        <f t="shared" si="5"/>
        <v>2211.65</v>
      </c>
      <c r="L352">
        <f>K352-(K352*I352/100)</f>
        <v>2101.0675000000001</v>
      </c>
    </row>
    <row r="353" spans="1:12" x14ac:dyDescent="0.25">
      <c r="A353" s="2">
        <v>10352</v>
      </c>
      <c r="B353" s="8">
        <v>45720</v>
      </c>
      <c r="C353" s="2" t="s">
        <v>32</v>
      </c>
      <c r="D353" s="2" t="s">
        <v>21</v>
      </c>
      <c r="E353" s="2" t="s">
        <v>12</v>
      </c>
      <c r="F353" s="2" t="s">
        <v>56</v>
      </c>
      <c r="G353" s="2">
        <v>3</v>
      </c>
      <c r="H353" s="2">
        <v>142.71</v>
      </c>
      <c r="I353" s="2">
        <v>15</v>
      </c>
      <c r="J353" s="2" t="s">
        <v>30</v>
      </c>
      <c r="K353">
        <f t="shared" si="5"/>
        <v>428.13</v>
      </c>
      <c r="L353">
        <f>K353-(K353*I353/100)</f>
        <v>363.91050000000001</v>
      </c>
    </row>
    <row r="354" spans="1:12" x14ac:dyDescent="0.25">
      <c r="A354" s="2">
        <v>10353</v>
      </c>
      <c r="B354" s="8">
        <v>45902</v>
      </c>
      <c r="C354" s="2" t="s">
        <v>27</v>
      </c>
      <c r="D354" s="2" t="s">
        <v>21</v>
      </c>
      <c r="E354" s="2" t="s">
        <v>40</v>
      </c>
      <c r="F354" s="2" t="s">
        <v>53</v>
      </c>
      <c r="G354" s="2">
        <v>16</v>
      </c>
      <c r="H354" s="2">
        <v>3487.48</v>
      </c>
      <c r="I354" s="2">
        <v>0</v>
      </c>
      <c r="J354" s="2" t="s">
        <v>23</v>
      </c>
      <c r="K354">
        <f t="shared" si="5"/>
        <v>55799.68</v>
      </c>
      <c r="L354">
        <f>K354-(K354*I354/100)</f>
        <v>55799.68</v>
      </c>
    </row>
    <row r="355" spans="1:12" x14ac:dyDescent="0.25">
      <c r="A355" s="2">
        <v>10354</v>
      </c>
      <c r="B355" s="8">
        <v>45964</v>
      </c>
      <c r="C355" s="2" t="s">
        <v>48</v>
      </c>
      <c r="D355" s="2" t="s">
        <v>47</v>
      </c>
      <c r="E355" s="2" t="s">
        <v>17</v>
      </c>
      <c r="F355" s="2" t="s">
        <v>28</v>
      </c>
      <c r="G355" s="2">
        <v>1</v>
      </c>
      <c r="H355" s="2">
        <v>3493.23</v>
      </c>
      <c r="I355" s="2">
        <v>5</v>
      </c>
      <c r="J355" s="2" t="s">
        <v>26</v>
      </c>
      <c r="K355">
        <f t="shared" si="5"/>
        <v>3493.23</v>
      </c>
      <c r="L355">
        <f>K355-(K355*I355/100)</f>
        <v>3318.5684999999999</v>
      </c>
    </row>
    <row r="356" spans="1:12" x14ac:dyDescent="0.25">
      <c r="A356" s="2">
        <v>10355</v>
      </c>
      <c r="B356" s="8">
        <v>46006</v>
      </c>
      <c r="C356" s="2" t="s">
        <v>15</v>
      </c>
      <c r="D356" s="2" t="s">
        <v>51</v>
      </c>
      <c r="E356" s="2" t="s">
        <v>17</v>
      </c>
      <c r="F356" s="2" t="s">
        <v>36</v>
      </c>
      <c r="G356" s="2">
        <v>15</v>
      </c>
      <c r="H356" s="2">
        <v>1718.89</v>
      </c>
      <c r="I356" s="2">
        <v>20</v>
      </c>
      <c r="J356" s="2" t="s">
        <v>19</v>
      </c>
      <c r="K356">
        <f t="shared" si="5"/>
        <v>25783.350000000002</v>
      </c>
      <c r="L356">
        <f>K356-(K356*I356/100)</f>
        <v>20626.68</v>
      </c>
    </row>
    <row r="357" spans="1:12" x14ac:dyDescent="0.25">
      <c r="A357" s="2">
        <v>10356</v>
      </c>
      <c r="B357" s="8">
        <v>45955</v>
      </c>
      <c r="C357" s="2" t="s">
        <v>15</v>
      </c>
      <c r="D357" s="2" t="s">
        <v>47</v>
      </c>
      <c r="E357" s="2" t="s">
        <v>17</v>
      </c>
      <c r="F357" s="2" t="s">
        <v>28</v>
      </c>
      <c r="G357" s="2">
        <v>6</v>
      </c>
      <c r="H357" s="2">
        <v>2702.05</v>
      </c>
      <c r="I357" s="2">
        <v>10</v>
      </c>
      <c r="J357" s="2" t="s">
        <v>19</v>
      </c>
      <c r="K357">
        <f t="shared" si="5"/>
        <v>16212.300000000001</v>
      </c>
      <c r="L357">
        <f>K357-(K357*I357/100)</f>
        <v>14591.070000000002</v>
      </c>
    </row>
    <row r="358" spans="1:12" x14ac:dyDescent="0.25">
      <c r="A358" s="2">
        <v>10357</v>
      </c>
      <c r="B358" s="8">
        <v>45805</v>
      </c>
      <c r="C358" s="2" t="s">
        <v>10</v>
      </c>
      <c r="D358" s="2" t="s">
        <v>21</v>
      </c>
      <c r="E358" s="2" t="s">
        <v>40</v>
      </c>
      <c r="F358" s="2" t="s">
        <v>49</v>
      </c>
      <c r="G358" s="2">
        <v>8</v>
      </c>
      <c r="H358" s="2">
        <v>4876.7</v>
      </c>
      <c r="I358" s="2">
        <v>5</v>
      </c>
      <c r="J358" s="2" t="s">
        <v>19</v>
      </c>
      <c r="K358">
        <f t="shared" si="5"/>
        <v>39013.599999999999</v>
      </c>
      <c r="L358">
        <f>K358-(K358*I358/100)</f>
        <v>37062.92</v>
      </c>
    </row>
    <row r="359" spans="1:12" x14ac:dyDescent="0.25">
      <c r="A359" s="2">
        <v>10358</v>
      </c>
      <c r="B359" s="8">
        <v>45962</v>
      </c>
      <c r="C359" s="2" t="s">
        <v>27</v>
      </c>
      <c r="D359" s="2" t="s">
        <v>47</v>
      </c>
      <c r="E359" s="2" t="s">
        <v>34</v>
      </c>
      <c r="F359" s="2" t="s">
        <v>38</v>
      </c>
      <c r="G359" s="2">
        <v>10</v>
      </c>
      <c r="H359" s="2">
        <v>1566.12</v>
      </c>
      <c r="I359" s="2">
        <v>0</v>
      </c>
      <c r="J359" s="2" t="s">
        <v>19</v>
      </c>
      <c r="K359">
        <f t="shared" si="5"/>
        <v>15661.199999999999</v>
      </c>
      <c r="L359">
        <f>K359-(K359*I359/100)</f>
        <v>15661.199999999999</v>
      </c>
    </row>
    <row r="360" spans="1:12" x14ac:dyDescent="0.25">
      <c r="A360" s="2">
        <v>10359</v>
      </c>
      <c r="B360" s="8">
        <v>45710</v>
      </c>
      <c r="C360" s="2" t="s">
        <v>42</v>
      </c>
      <c r="D360" s="2" t="s">
        <v>11</v>
      </c>
      <c r="E360" s="2" t="s">
        <v>34</v>
      </c>
      <c r="F360" s="2" t="s">
        <v>44</v>
      </c>
      <c r="G360" s="2">
        <v>12</v>
      </c>
      <c r="H360" s="2">
        <v>1932.12</v>
      </c>
      <c r="I360" s="2">
        <v>20</v>
      </c>
      <c r="J360" s="2" t="s">
        <v>26</v>
      </c>
      <c r="K360">
        <f t="shared" si="5"/>
        <v>23185.439999999999</v>
      </c>
      <c r="L360">
        <f>K360-(K360*I360/100)</f>
        <v>18548.351999999999</v>
      </c>
    </row>
    <row r="361" spans="1:12" x14ac:dyDescent="0.25">
      <c r="A361" s="2">
        <v>10360</v>
      </c>
      <c r="B361" s="8">
        <v>45964</v>
      </c>
      <c r="C361" s="2" t="s">
        <v>15</v>
      </c>
      <c r="D361" s="2" t="s">
        <v>25</v>
      </c>
      <c r="E361" s="2" t="s">
        <v>34</v>
      </c>
      <c r="F361" s="2" t="s">
        <v>35</v>
      </c>
      <c r="G361" s="2">
        <v>16</v>
      </c>
      <c r="H361" s="2">
        <v>1237.6600000000001</v>
      </c>
      <c r="I361" s="2">
        <v>15</v>
      </c>
      <c r="J361" s="2" t="s">
        <v>14</v>
      </c>
      <c r="K361">
        <f t="shared" si="5"/>
        <v>19802.560000000001</v>
      </c>
      <c r="L361">
        <f>K361-(K361*I361/100)</f>
        <v>16832.175999999999</v>
      </c>
    </row>
    <row r="362" spans="1:12" x14ac:dyDescent="0.25">
      <c r="A362" s="2">
        <v>10361</v>
      </c>
      <c r="B362" s="8">
        <v>45924</v>
      </c>
      <c r="C362" s="2" t="s">
        <v>10</v>
      </c>
      <c r="D362" s="2" t="s">
        <v>29</v>
      </c>
      <c r="E362" s="2" t="s">
        <v>12</v>
      </c>
      <c r="F362" s="2" t="s">
        <v>13</v>
      </c>
      <c r="G362" s="2">
        <v>16</v>
      </c>
      <c r="H362" s="2">
        <v>2524.0100000000002</v>
      </c>
      <c r="I362" s="2">
        <v>0</v>
      </c>
      <c r="J362" s="2" t="s">
        <v>30</v>
      </c>
      <c r="K362">
        <f t="shared" si="5"/>
        <v>40384.160000000003</v>
      </c>
      <c r="L362">
        <f>K362-(K362*I362/100)</f>
        <v>40384.160000000003</v>
      </c>
    </row>
    <row r="363" spans="1:12" x14ac:dyDescent="0.25">
      <c r="A363" s="2">
        <v>10362</v>
      </c>
      <c r="B363" s="8">
        <v>45706</v>
      </c>
      <c r="C363" s="2" t="s">
        <v>27</v>
      </c>
      <c r="D363" s="2" t="s">
        <v>47</v>
      </c>
      <c r="E363" s="2" t="s">
        <v>40</v>
      </c>
      <c r="F363" s="2" t="s">
        <v>41</v>
      </c>
      <c r="G363" s="2">
        <v>5</v>
      </c>
      <c r="H363" s="2">
        <v>3385.77</v>
      </c>
      <c r="I363" s="2">
        <v>10</v>
      </c>
      <c r="J363" s="2" t="s">
        <v>14</v>
      </c>
      <c r="K363">
        <f t="shared" si="5"/>
        <v>16928.849999999999</v>
      </c>
      <c r="L363">
        <f>K363-(K363*I363/100)</f>
        <v>15235.964999999998</v>
      </c>
    </row>
    <row r="364" spans="1:12" x14ac:dyDescent="0.25">
      <c r="A364" s="2">
        <v>10363</v>
      </c>
      <c r="B364" s="8">
        <v>45870</v>
      </c>
      <c r="C364" s="2" t="s">
        <v>27</v>
      </c>
      <c r="D364" s="2" t="s">
        <v>37</v>
      </c>
      <c r="E364" s="2" t="s">
        <v>34</v>
      </c>
      <c r="F364" s="2" t="s">
        <v>38</v>
      </c>
      <c r="G364" s="2">
        <v>6</v>
      </c>
      <c r="H364" s="2">
        <v>546.11</v>
      </c>
      <c r="I364" s="2">
        <v>0</v>
      </c>
      <c r="J364" s="2" t="s">
        <v>30</v>
      </c>
      <c r="K364">
        <f t="shared" si="5"/>
        <v>3276.66</v>
      </c>
      <c r="L364">
        <f>K364-(K364*I364/100)</f>
        <v>3276.66</v>
      </c>
    </row>
    <row r="365" spans="1:12" x14ac:dyDescent="0.25">
      <c r="A365" s="2">
        <v>10364</v>
      </c>
      <c r="B365" s="8">
        <v>45918</v>
      </c>
      <c r="C365" s="2" t="s">
        <v>43</v>
      </c>
      <c r="D365" s="2" t="s">
        <v>29</v>
      </c>
      <c r="E365" s="2" t="s">
        <v>34</v>
      </c>
      <c r="F365" s="2" t="s">
        <v>44</v>
      </c>
      <c r="G365" s="2">
        <v>2</v>
      </c>
      <c r="H365" s="2">
        <v>4650.67</v>
      </c>
      <c r="I365" s="2">
        <v>0</v>
      </c>
      <c r="J365" s="2" t="s">
        <v>23</v>
      </c>
      <c r="K365">
        <f t="shared" si="5"/>
        <v>9301.34</v>
      </c>
      <c r="L365">
        <f>K365-(K365*I365/100)</f>
        <v>9301.34</v>
      </c>
    </row>
    <row r="366" spans="1:12" x14ac:dyDescent="0.25">
      <c r="A366" s="2">
        <v>10365</v>
      </c>
      <c r="B366" s="8">
        <v>45755</v>
      </c>
      <c r="C366" s="2" t="s">
        <v>32</v>
      </c>
      <c r="D366" s="2" t="s">
        <v>29</v>
      </c>
      <c r="E366" s="2" t="s">
        <v>34</v>
      </c>
      <c r="F366" s="2" t="s">
        <v>44</v>
      </c>
      <c r="G366" s="2">
        <v>3</v>
      </c>
      <c r="H366" s="2">
        <v>3028.64</v>
      </c>
      <c r="I366" s="2">
        <v>20</v>
      </c>
      <c r="J366" s="2" t="s">
        <v>19</v>
      </c>
      <c r="K366">
        <f t="shared" si="5"/>
        <v>9085.92</v>
      </c>
      <c r="L366">
        <f>K366-(K366*I366/100)</f>
        <v>7268.7359999999999</v>
      </c>
    </row>
    <row r="367" spans="1:12" x14ac:dyDescent="0.25">
      <c r="A367" s="2">
        <v>10366</v>
      </c>
      <c r="B367" s="8">
        <v>45834</v>
      </c>
      <c r="C367" s="2" t="s">
        <v>32</v>
      </c>
      <c r="D367" s="2" t="s">
        <v>16</v>
      </c>
      <c r="E367" s="2" t="s">
        <v>40</v>
      </c>
      <c r="F367" s="2" t="s">
        <v>46</v>
      </c>
      <c r="G367" s="2">
        <v>6</v>
      </c>
      <c r="H367" s="2">
        <v>2022.85</v>
      </c>
      <c r="I367" s="2">
        <v>20</v>
      </c>
      <c r="J367" s="2" t="s">
        <v>19</v>
      </c>
      <c r="K367">
        <f t="shared" si="5"/>
        <v>12137.099999999999</v>
      </c>
      <c r="L367">
        <f>K367-(K367*I367/100)</f>
        <v>9709.6799999999985</v>
      </c>
    </row>
    <row r="368" spans="1:12" x14ac:dyDescent="0.25">
      <c r="A368" s="2">
        <v>10367</v>
      </c>
      <c r="B368" s="8">
        <v>45906</v>
      </c>
      <c r="C368" s="2" t="s">
        <v>32</v>
      </c>
      <c r="D368" s="2" t="s">
        <v>52</v>
      </c>
      <c r="E368" s="2" t="s">
        <v>17</v>
      </c>
      <c r="F368" s="2" t="s">
        <v>36</v>
      </c>
      <c r="G368" s="2">
        <v>13</v>
      </c>
      <c r="H368" s="2">
        <v>4082.94</v>
      </c>
      <c r="I368" s="2">
        <v>20</v>
      </c>
      <c r="J368" s="2" t="s">
        <v>14</v>
      </c>
      <c r="K368">
        <f t="shared" si="5"/>
        <v>53078.22</v>
      </c>
      <c r="L368">
        <f>K368-(K368*I368/100)</f>
        <v>42462.576000000001</v>
      </c>
    </row>
    <row r="369" spans="1:12" x14ac:dyDescent="0.25">
      <c r="A369" s="2">
        <v>10368</v>
      </c>
      <c r="B369" s="8">
        <v>45790</v>
      </c>
      <c r="C369" s="2" t="s">
        <v>43</v>
      </c>
      <c r="D369" s="2" t="s">
        <v>29</v>
      </c>
      <c r="E369" s="2" t="s">
        <v>34</v>
      </c>
      <c r="F369" s="2" t="s">
        <v>50</v>
      </c>
      <c r="G369" s="2">
        <v>9</v>
      </c>
      <c r="H369" s="2">
        <v>1635.4</v>
      </c>
      <c r="I369" s="2">
        <v>20</v>
      </c>
      <c r="J369" s="2" t="s">
        <v>30</v>
      </c>
      <c r="K369">
        <f t="shared" si="5"/>
        <v>14718.6</v>
      </c>
      <c r="L369">
        <f>K369-(K369*I369/100)</f>
        <v>11774.880000000001</v>
      </c>
    </row>
    <row r="370" spans="1:12" x14ac:dyDescent="0.25">
      <c r="A370" s="2">
        <v>10369</v>
      </c>
      <c r="B370" s="8">
        <v>45774</v>
      </c>
      <c r="C370" s="2" t="s">
        <v>39</v>
      </c>
      <c r="D370" s="2" t="s">
        <v>29</v>
      </c>
      <c r="E370" s="2" t="s">
        <v>12</v>
      </c>
      <c r="F370" s="2" t="s">
        <v>13</v>
      </c>
      <c r="G370" s="2">
        <v>8</v>
      </c>
      <c r="H370" s="2">
        <v>4563.79</v>
      </c>
      <c r="I370" s="2">
        <v>5</v>
      </c>
      <c r="J370" s="2" t="s">
        <v>23</v>
      </c>
      <c r="K370">
        <f t="shared" si="5"/>
        <v>36510.32</v>
      </c>
      <c r="L370">
        <f>K370-(K370*I370/100)</f>
        <v>34684.803999999996</v>
      </c>
    </row>
    <row r="371" spans="1:12" x14ac:dyDescent="0.25">
      <c r="A371" s="2">
        <v>10370</v>
      </c>
      <c r="B371" s="8">
        <v>46008</v>
      </c>
      <c r="C371" s="2" t="s">
        <v>43</v>
      </c>
      <c r="D371" s="2" t="s">
        <v>51</v>
      </c>
      <c r="E371" s="2" t="s">
        <v>40</v>
      </c>
      <c r="F371" s="2" t="s">
        <v>41</v>
      </c>
      <c r="G371" s="2">
        <v>12</v>
      </c>
      <c r="H371" s="2">
        <v>2341.96</v>
      </c>
      <c r="I371" s="2">
        <v>10</v>
      </c>
      <c r="J371" s="2" t="s">
        <v>23</v>
      </c>
      <c r="K371">
        <f t="shared" si="5"/>
        <v>28103.52</v>
      </c>
      <c r="L371">
        <f>K371-(K371*I371/100)</f>
        <v>25293.168000000001</v>
      </c>
    </row>
    <row r="372" spans="1:12" x14ac:dyDescent="0.25">
      <c r="A372" s="2">
        <v>10371</v>
      </c>
      <c r="B372" s="8">
        <v>45770</v>
      </c>
      <c r="C372" s="2" t="s">
        <v>27</v>
      </c>
      <c r="D372" s="2" t="s">
        <v>29</v>
      </c>
      <c r="E372" s="2" t="s">
        <v>12</v>
      </c>
      <c r="F372" s="2" t="s">
        <v>22</v>
      </c>
      <c r="G372" s="2">
        <v>19</v>
      </c>
      <c r="H372" s="2">
        <v>4482.6899999999996</v>
      </c>
      <c r="I372" s="2">
        <v>15</v>
      </c>
      <c r="J372" s="2" t="s">
        <v>26</v>
      </c>
      <c r="K372">
        <f t="shared" si="5"/>
        <v>85171.109999999986</v>
      </c>
      <c r="L372">
        <f>K372-(K372*I372/100)</f>
        <v>72395.443499999994</v>
      </c>
    </row>
    <row r="373" spans="1:12" x14ac:dyDescent="0.25">
      <c r="A373" s="2">
        <v>10372</v>
      </c>
      <c r="B373" s="8">
        <v>45876</v>
      </c>
      <c r="C373" s="2" t="s">
        <v>15</v>
      </c>
      <c r="D373" s="2" t="s">
        <v>37</v>
      </c>
      <c r="E373" s="2" t="s">
        <v>34</v>
      </c>
      <c r="F373" s="2" t="s">
        <v>44</v>
      </c>
      <c r="G373" s="2">
        <v>3</v>
      </c>
      <c r="H373" s="2">
        <v>4317.07</v>
      </c>
      <c r="I373" s="2">
        <v>15</v>
      </c>
      <c r="J373" s="2" t="s">
        <v>30</v>
      </c>
      <c r="K373">
        <f t="shared" si="5"/>
        <v>12951.21</v>
      </c>
      <c r="L373">
        <f>K373-(K373*I373/100)</f>
        <v>11008.528499999999</v>
      </c>
    </row>
    <row r="374" spans="1:12" x14ac:dyDescent="0.25">
      <c r="A374" s="2">
        <v>10373</v>
      </c>
      <c r="B374" s="8">
        <v>45947</v>
      </c>
      <c r="C374" s="2" t="s">
        <v>15</v>
      </c>
      <c r="D374" s="2" t="s">
        <v>45</v>
      </c>
      <c r="E374" s="2" t="s">
        <v>34</v>
      </c>
      <c r="F374" s="2" t="s">
        <v>35</v>
      </c>
      <c r="G374" s="2">
        <v>20</v>
      </c>
      <c r="H374" s="2">
        <v>3730.67</v>
      </c>
      <c r="I374" s="2">
        <v>20</v>
      </c>
      <c r="J374" s="2" t="s">
        <v>19</v>
      </c>
      <c r="K374">
        <f t="shared" si="5"/>
        <v>74613.399999999994</v>
      </c>
      <c r="L374">
        <f>K374-(K374*I374/100)</f>
        <v>59690.719999999994</v>
      </c>
    </row>
    <row r="375" spans="1:12" x14ac:dyDescent="0.25">
      <c r="A375" s="2">
        <v>10374</v>
      </c>
      <c r="B375" s="8">
        <v>45794</v>
      </c>
      <c r="C375" s="2" t="s">
        <v>15</v>
      </c>
      <c r="D375" s="2" t="s">
        <v>51</v>
      </c>
      <c r="E375" s="2" t="s">
        <v>40</v>
      </c>
      <c r="F375" s="2" t="s">
        <v>49</v>
      </c>
      <c r="G375" s="2">
        <v>11</v>
      </c>
      <c r="H375" s="2">
        <v>1117.1600000000001</v>
      </c>
      <c r="I375" s="2">
        <v>15</v>
      </c>
      <c r="J375" s="2" t="s">
        <v>30</v>
      </c>
      <c r="K375">
        <f t="shared" si="5"/>
        <v>12288.76</v>
      </c>
      <c r="L375">
        <f>K375-(K375*I375/100)</f>
        <v>10445.446</v>
      </c>
    </row>
    <row r="376" spans="1:12" x14ac:dyDescent="0.25">
      <c r="A376" s="2">
        <v>10375</v>
      </c>
      <c r="B376" s="8">
        <v>45659</v>
      </c>
      <c r="C376" s="2" t="s">
        <v>10</v>
      </c>
      <c r="D376" s="2" t="s">
        <v>29</v>
      </c>
      <c r="E376" s="2" t="s">
        <v>12</v>
      </c>
      <c r="F376" s="2" t="s">
        <v>13</v>
      </c>
      <c r="G376" s="2">
        <v>3</v>
      </c>
      <c r="H376" s="2">
        <v>2113.4</v>
      </c>
      <c r="I376" s="2">
        <v>0</v>
      </c>
      <c r="J376" s="2" t="s">
        <v>30</v>
      </c>
      <c r="K376">
        <f t="shared" si="5"/>
        <v>6340.2000000000007</v>
      </c>
      <c r="L376">
        <f>K376-(K376*I376/100)</f>
        <v>6340.2000000000007</v>
      </c>
    </row>
    <row r="377" spans="1:12" x14ac:dyDescent="0.25">
      <c r="A377" s="2">
        <v>10376</v>
      </c>
      <c r="B377" s="8">
        <v>45806</v>
      </c>
      <c r="C377" s="2" t="s">
        <v>15</v>
      </c>
      <c r="D377" s="2" t="s">
        <v>21</v>
      </c>
      <c r="E377" s="2" t="s">
        <v>34</v>
      </c>
      <c r="F377" s="2" t="s">
        <v>35</v>
      </c>
      <c r="G377" s="2">
        <v>1</v>
      </c>
      <c r="H377" s="2">
        <v>2165.14</v>
      </c>
      <c r="I377" s="2">
        <v>15</v>
      </c>
      <c r="J377" s="2" t="s">
        <v>26</v>
      </c>
      <c r="K377">
        <f t="shared" si="5"/>
        <v>2165.14</v>
      </c>
      <c r="L377">
        <f>K377-(K377*I377/100)</f>
        <v>1840.3689999999999</v>
      </c>
    </row>
    <row r="378" spans="1:12" x14ac:dyDescent="0.25">
      <c r="A378" s="2">
        <v>10377</v>
      </c>
      <c r="B378" s="8">
        <v>46000</v>
      </c>
      <c r="C378" s="2" t="s">
        <v>39</v>
      </c>
      <c r="D378" s="2" t="s">
        <v>16</v>
      </c>
      <c r="E378" s="2" t="s">
        <v>40</v>
      </c>
      <c r="F378" s="2" t="s">
        <v>53</v>
      </c>
      <c r="G378" s="2">
        <v>16</v>
      </c>
      <c r="H378" s="2">
        <v>1398.82</v>
      </c>
      <c r="I378" s="2">
        <v>0</v>
      </c>
      <c r="J378" s="2" t="s">
        <v>23</v>
      </c>
      <c r="K378">
        <f t="shared" si="5"/>
        <v>22381.119999999999</v>
      </c>
      <c r="L378">
        <f>K378-(K378*I378/100)</f>
        <v>22381.119999999999</v>
      </c>
    </row>
    <row r="379" spans="1:12" x14ac:dyDescent="0.25">
      <c r="A379" s="2">
        <v>10378</v>
      </c>
      <c r="B379" s="8">
        <v>45886</v>
      </c>
      <c r="C379" s="2" t="s">
        <v>24</v>
      </c>
      <c r="D379" s="2" t="s">
        <v>51</v>
      </c>
      <c r="E379" s="2" t="s">
        <v>40</v>
      </c>
      <c r="F379" s="2" t="s">
        <v>49</v>
      </c>
      <c r="G379" s="2">
        <v>6</v>
      </c>
      <c r="H379" s="2">
        <v>137.65</v>
      </c>
      <c r="I379" s="2">
        <v>15</v>
      </c>
      <c r="J379" s="2" t="s">
        <v>23</v>
      </c>
      <c r="K379">
        <f t="shared" si="5"/>
        <v>825.90000000000009</v>
      </c>
      <c r="L379">
        <f>K379-(K379*I379/100)</f>
        <v>702.0150000000001</v>
      </c>
    </row>
    <row r="380" spans="1:12" x14ac:dyDescent="0.25">
      <c r="A380" s="2">
        <v>10379</v>
      </c>
      <c r="B380" s="8">
        <v>45750</v>
      </c>
      <c r="C380" s="2" t="s">
        <v>10</v>
      </c>
      <c r="D380" s="2" t="s">
        <v>51</v>
      </c>
      <c r="E380" s="2" t="s">
        <v>17</v>
      </c>
      <c r="F380" s="2" t="s">
        <v>28</v>
      </c>
      <c r="G380" s="2">
        <v>1</v>
      </c>
      <c r="H380" s="2">
        <v>1468.49</v>
      </c>
      <c r="I380" s="2">
        <v>20</v>
      </c>
      <c r="J380" s="2" t="s">
        <v>30</v>
      </c>
      <c r="K380">
        <f t="shared" si="5"/>
        <v>1468.49</v>
      </c>
      <c r="L380">
        <f>K380-(K380*I380/100)</f>
        <v>1174.7919999999999</v>
      </c>
    </row>
    <row r="381" spans="1:12" x14ac:dyDescent="0.25">
      <c r="A381" s="2">
        <v>10380</v>
      </c>
      <c r="B381" s="8">
        <v>45691</v>
      </c>
      <c r="C381" s="2" t="s">
        <v>42</v>
      </c>
      <c r="D381" s="2" t="s">
        <v>37</v>
      </c>
      <c r="E381" s="2" t="s">
        <v>40</v>
      </c>
      <c r="F381" s="2" t="s">
        <v>46</v>
      </c>
      <c r="G381" s="2">
        <v>3</v>
      </c>
      <c r="H381" s="2">
        <v>1654.15</v>
      </c>
      <c r="I381" s="2">
        <v>0</v>
      </c>
      <c r="J381" s="2" t="s">
        <v>30</v>
      </c>
      <c r="K381">
        <f t="shared" si="5"/>
        <v>4962.4500000000007</v>
      </c>
      <c r="L381">
        <f>K381-(K381*I381/100)</f>
        <v>4962.4500000000007</v>
      </c>
    </row>
    <row r="382" spans="1:12" x14ac:dyDescent="0.25">
      <c r="A382" s="2">
        <v>10381</v>
      </c>
      <c r="B382" s="8">
        <v>45841</v>
      </c>
      <c r="C382" s="2" t="s">
        <v>31</v>
      </c>
      <c r="D382" s="2" t="s">
        <v>21</v>
      </c>
      <c r="E382" s="2" t="s">
        <v>17</v>
      </c>
      <c r="F382" s="2" t="s">
        <v>28</v>
      </c>
      <c r="G382" s="2">
        <v>13</v>
      </c>
      <c r="H382" s="2">
        <v>3021.24</v>
      </c>
      <c r="I382" s="2">
        <v>10</v>
      </c>
      <c r="J382" s="2" t="s">
        <v>14</v>
      </c>
      <c r="K382">
        <f t="shared" si="5"/>
        <v>39276.119999999995</v>
      </c>
      <c r="L382">
        <f>K382-(K382*I382/100)</f>
        <v>35348.507999999994</v>
      </c>
    </row>
    <row r="383" spans="1:12" x14ac:dyDescent="0.25">
      <c r="A383" s="2">
        <v>10382</v>
      </c>
      <c r="B383" s="8">
        <v>45946</v>
      </c>
      <c r="C383" s="2" t="s">
        <v>10</v>
      </c>
      <c r="D383" s="2" t="s">
        <v>37</v>
      </c>
      <c r="E383" s="2" t="s">
        <v>17</v>
      </c>
      <c r="F383" s="2" t="s">
        <v>36</v>
      </c>
      <c r="G383" s="2">
        <v>13</v>
      </c>
      <c r="H383" s="2">
        <v>3073.62</v>
      </c>
      <c r="I383" s="2">
        <v>15</v>
      </c>
      <c r="J383" s="2" t="s">
        <v>19</v>
      </c>
      <c r="K383">
        <f t="shared" si="5"/>
        <v>39957.06</v>
      </c>
      <c r="L383">
        <f>K383-(K383*I383/100)</f>
        <v>33963.500999999997</v>
      </c>
    </row>
    <row r="384" spans="1:12" x14ac:dyDescent="0.25">
      <c r="A384" s="2">
        <v>10383</v>
      </c>
      <c r="B384" s="8">
        <v>45981</v>
      </c>
      <c r="C384" s="2" t="s">
        <v>54</v>
      </c>
      <c r="D384" s="2" t="s">
        <v>11</v>
      </c>
      <c r="E384" s="2" t="s">
        <v>40</v>
      </c>
      <c r="F384" s="2" t="s">
        <v>53</v>
      </c>
      <c r="G384" s="2">
        <v>14</v>
      </c>
      <c r="H384" s="2">
        <v>3651.08</v>
      </c>
      <c r="I384" s="2">
        <v>0</v>
      </c>
      <c r="J384" s="2" t="s">
        <v>14</v>
      </c>
      <c r="K384">
        <f t="shared" si="5"/>
        <v>51115.119999999995</v>
      </c>
      <c r="L384">
        <f>K384-(K384*I384/100)</f>
        <v>51115.119999999995</v>
      </c>
    </row>
    <row r="385" spans="1:12" x14ac:dyDescent="0.25">
      <c r="A385" s="2">
        <v>10384</v>
      </c>
      <c r="B385" s="8">
        <v>45777</v>
      </c>
      <c r="C385" s="2" t="s">
        <v>31</v>
      </c>
      <c r="D385" s="2" t="s">
        <v>16</v>
      </c>
      <c r="E385" s="2" t="s">
        <v>17</v>
      </c>
      <c r="F385" s="2" t="s">
        <v>18</v>
      </c>
      <c r="G385" s="2">
        <v>8</v>
      </c>
      <c r="H385" s="2">
        <v>1834.72</v>
      </c>
      <c r="I385" s="2">
        <v>5</v>
      </c>
      <c r="J385" s="2" t="s">
        <v>19</v>
      </c>
      <c r="K385">
        <f t="shared" si="5"/>
        <v>14677.76</v>
      </c>
      <c r="L385">
        <f>K385-(K385*I385/100)</f>
        <v>13943.871999999999</v>
      </c>
    </row>
    <row r="386" spans="1:12" x14ac:dyDescent="0.25">
      <c r="A386" s="2">
        <v>10385</v>
      </c>
      <c r="B386" s="8">
        <v>46005</v>
      </c>
      <c r="C386" s="2" t="s">
        <v>43</v>
      </c>
      <c r="D386" s="2" t="s">
        <v>45</v>
      </c>
      <c r="E386" s="2" t="s">
        <v>17</v>
      </c>
      <c r="F386" s="2" t="s">
        <v>18</v>
      </c>
      <c r="G386" s="2">
        <v>14</v>
      </c>
      <c r="H386" s="2">
        <v>3718.49</v>
      </c>
      <c r="I386" s="2">
        <v>15</v>
      </c>
      <c r="J386" s="2" t="s">
        <v>26</v>
      </c>
      <c r="K386">
        <f t="shared" si="5"/>
        <v>52058.86</v>
      </c>
      <c r="L386">
        <f>K386-(K386*I386/100)</f>
        <v>44250.031000000003</v>
      </c>
    </row>
    <row r="387" spans="1:12" x14ac:dyDescent="0.25">
      <c r="A387" s="2">
        <v>10386</v>
      </c>
      <c r="B387" s="8">
        <v>45727</v>
      </c>
      <c r="C387" s="2" t="s">
        <v>54</v>
      </c>
      <c r="D387" s="2" t="s">
        <v>25</v>
      </c>
      <c r="E387" s="2" t="s">
        <v>12</v>
      </c>
      <c r="F387" s="2" t="s">
        <v>56</v>
      </c>
      <c r="G387" s="2">
        <v>15</v>
      </c>
      <c r="H387" s="2">
        <v>3767.15</v>
      </c>
      <c r="I387" s="2">
        <v>10</v>
      </c>
      <c r="J387" s="2" t="s">
        <v>14</v>
      </c>
      <c r="K387">
        <f t="shared" ref="K387:K450" si="6">G387*H387</f>
        <v>56507.25</v>
      </c>
      <c r="L387">
        <f>K387-(K387*I387/100)</f>
        <v>50856.525000000001</v>
      </c>
    </row>
    <row r="388" spans="1:12" x14ac:dyDescent="0.25">
      <c r="A388" s="2">
        <v>10387</v>
      </c>
      <c r="B388" s="8">
        <v>45699</v>
      </c>
      <c r="C388" s="2" t="s">
        <v>48</v>
      </c>
      <c r="D388" s="2" t="s">
        <v>45</v>
      </c>
      <c r="E388" s="2" t="s">
        <v>17</v>
      </c>
      <c r="F388" s="2" t="s">
        <v>36</v>
      </c>
      <c r="G388" s="2">
        <v>5</v>
      </c>
      <c r="H388" s="2">
        <v>4144.37</v>
      </c>
      <c r="I388" s="2">
        <v>5</v>
      </c>
      <c r="J388" s="2" t="s">
        <v>23</v>
      </c>
      <c r="K388">
        <f t="shared" si="6"/>
        <v>20721.849999999999</v>
      </c>
      <c r="L388">
        <f>K388-(K388*I388/100)</f>
        <v>19685.7575</v>
      </c>
    </row>
    <row r="389" spans="1:12" x14ac:dyDescent="0.25">
      <c r="A389" s="2">
        <v>10388</v>
      </c>
      <c r="B389" s="8">
        <v>45758</v>
      </c>
      <c r="C389" s="2" t="s">
        <v>31</v>
      </c>
      <c r="D389" s="2" t="s">
        <v>51</v>
      </c>
      <c r="E389" s="2" t="s">
        <v>40</v>
      </c>
      <c r="F389" s="2" t="s">
        <v>53</v>
      </c>
      <c r="G389" s="2">
        <v>15</v>
      </c>
      <c r="H389" s="2">
        <v>1484.17</v>
      </c>
      <c r="I389" s="2">
        <v>5</v>
      </c>
      <c r="J389" s="2" t="s">
        <v>19</v>
      </c>
      <c r="K389">
        <f t="shared" si="6"/>
        <v>22262.550000000003</v>
      </c>
      <c r="L389">
        <f>K389-(K389*I389/100)</f>
        <v>21149.422500000004</v>
      </c>
    </row>
    <row r="390" spans="1:12" x14ac:dyDescent="0.25">
      <c r="A390" s="2">
        <v>10389</v>
      </c>
      <c r="B390" s="8">
        <v>45825</v>
      </c>
      <c r="C390" s="2" t="s">
        <v>54</v>
      </c>
      <c r="D390" s="2" t="s">
        <v>47</v>
      </c>
      <c r="E390" s="2" t="s">
        <v>12</v>
      </c>
      <c r="F390" s="2" t="s">
        <v>13</v>
      </c>
      <c r="G390" s="2">
        <v>5</v>
      </c>
      <c r="H390" s="2">
        <v>1647.81</v>
      </c>
      <c r="I390" s="2">
        <v>20</v>
      </c>
      <c r="J390" s="2" t="s">
        <v>30</v>
      </c>
      <c r="K390">
        <f t="shared" si="6"/>
        <v>8239.0499999999993</v>
      </c>
      <c r="L390">
        <f>K390-(K390*I390/100)</f>
        <v>6591.24</v>
      </c>
    </row>
    <row r="391" spans="1:12" x14ac:dyDescent="0.25">
      <c r="A391" s="2">
        <v>10390</v>
      </c>
      <c r="B391" s="8">
        <v>46005</v>
      </c>
      <c r="C391" s="2" t="s">
        <v>27</v>
      </c>
      <c r="D391" s="2" t="s">
        <v>47</v>
      </c>
      <c r="E391" s="2" t="s">
        <v>12</v>
      </c>
      <c r="F391" s="2" t="s">
        <v>56</v>
      </c>
      <c r="G391" s="2">
        <v>1</v>
      </c>
      <c r="H391" s="2">
        <v>3301.12</v>
      </c>
      <c r="I391" s="2">
        <v>20</v>
      </c>
      <c r="J391" s="2" t="s">
        <v>19</v>
      </c>
      <c r="K391">
        <f t="shared" si="6"/>
        <v>3301.12</v>
      </c>
      <c r="L391">
        <f>K391-(K391*I391/100)</f>
        <v>2640.8959999999997</v>
      </c>
    </row>
    <row r="392" spans="1:12" x14ac:dyDescent="0.25">
      <c r="A392" s="2">
        <v>10391</v>
      </c>
      <c r="B392" s="8">
        <v>45671</v>
      </c>
      <c r="C392" s="2" t="s">
        <v>39</v>
      </c>
      <c r="D392" s="2" t="s">
        <v>21</v>
      </c>
      <c r="E392" s="2" t="s">
        <v>17</v>
      </c>
      <c r="F392" s="2" t="s">
        <v>55</v>
      </c>
      <c r="G392" s="2">
        <v>8</v>
      </c>
      <c r="H392" s="2">
        <v>3073.06</v>
      </c>
      <c r="I392" s="2">
        <v>20</v>
      </c>
      <c r="J392" s="2" t="s">
        <v>26</v>
      </c>
      <c r="K392">
        <f t="shared" si="6"/>
        <v>24584.48</v>
      </c>
      <c r="L392">
        <f>K392-(K392*I392/100)</f>
        <v>19667.583999999999</v>
      </c>
    </row>
    <row r="393" spans="1:12" x14ac:dyDescent="0.25">
      <c r="A393" s="2">
        <v>10392</v>
      </c>
      <c r="B393" s="8">
        <v>45815</v>
      </c>
      <c r="C393" s="2" t="s">
        <v>54</v>
      </c>
      <c r="D393" s="2" t="s">
        <v>47</v>
      </c>
      <c r="E393" s="2" t="s">
        <v>12</v>
      </c>
      <c r="F393" s="2" t="s">
        <v>22</v>
      </c>
      <c r="G393" s="2">
        <v>10</v>
      </c>
      <c r="H393" s="2">
        <v>1822.59</v>
      </c>
      <c r="I393" s="2">
        <v>20</v>
      </c>
      <c r="J393" s="2" t="s">
        <v>14</v>
      </c>
      <c r="K393">
        <f t="shared" si="6"/>
        <v>18225.899999999998</v>
      </c>
      <c r="L393">
        <f>K393-(K393*I393/100)</f>
        <v>14580.719999999998</v>
      </c>
    </row>
    <row r="394" spans="1:12" x14ac:dyDescent="0.25">
      <c r="A394" s="2">
        <v>10393</v>
      </c>
      <c r="B394" s="8">
        <v>46019</v>
      </c>
      <c r="C394" s="2" t="s">
        <v>10</v>
      </c>
      <c r="D394" s="2" t="s">
        <v>25</v>
      </c>
      <c r="E394" s="2" t="s">
        <v>34</v>
      </c>
      <c r="F394" s="2" t="s">
        <v>44</v>
      </c>
      <c r="G394" s="2">
        <v>13</v>
      </c>
      <c r="H394" s="2">
        <v>658.09</v>
      </c>
      <c r="I394" s="2">
        <v>0</v>
      </c>
      <c r="J394" s="2" t="s">
        <v>19</v>
      </c>
      <c r="K394">
        <f t="shared" si="6"/>
        <v>8555.17</v>
      </c>
      <c r="L394">
        <f>K394-(K394*I394/100)</f>
        <v>8555.17</v>
      </c>
    </row>
    <row r="395" spans="1:12" x14ac:dyDescent="0.25">
      <c r="A395" s="2">
        <v>10394</v>
      </c>
      <c r="B395" s="8">
        <v>45977</v>
      </c>
      <c r="C395" s="2" t="s">
        <v>24</v>
      </c>
      <c r="D395" s="2" t="s">
        <v>51</v>
      </c>
      <c r="E395" s="2" t="s">
        <v>12</v>
      </c>
      <c r="F395" s="2" t="s">
        <v>33</v>
      </c>
      <c r="G395" s="2">
        <v>19</v>
      </c>
      <c r="H395" s="2">
        <v>4292.91</v>
      </c>
      <c r="I395" s="2">
        <v>0</v>
      </c>
      <c r="J395" s="2" t="s">
        <v>19</v>
      </c>
      <c r="K395">
        <f t="shared" si="6"/>
        <v>81565.289999999994</v>
      </c>
      <c r="L395">
        <f>K395-(K395*I395/100)</f>
        <v>81565.289999999994</v>
      </c>
    </row>
    <row r="396" spans="1:12" x14ac:dyDescent="0.25">
      <c r="A396" s="2">
        <v>10395</v>
      </c>
      <c r="B396" s="8">
        <v>45895</v>
      </c>
      <c r="C396" s="2" t="s">
        <v>32</v>
      </c>
      <c r="D396" s="2" t="s">
        <v>52</v>
      </c>
      <c r="E396" s="2" t="s">
        <v>34</v>
      </c>
      <c r="F396" s="2" t="s">
        <v>44</v>
      </c>
      <c r="G396" s="2">
        <v>14</v>
      </c>
      <c r="H396" s="2">
        <v>557.24</v>
      </c>
      <c r="I396" s="2">
        <v>10</v>
      </c>
      <c r="J396" s="2" t="s">
        <v>14</v>
      </c>
      <c r="K396">
        <f t="shared" si="6"/>
        <v>7801.3600000000006</v>
      </c>
      <c r="L396">
        <f>K396-(K396*I396/100)</f>
        <v>7021.2240000000002</v>
      </c>
    </row>
    <row r="397" spans="1:12" x14ac:dyDescent="0.25">
      <c r="A397" s="2">
        <v>10396</v>
      </c>
      <c r="B397" s="8">
        <v>46012</v>
      </c>
      <c r="C397" s="2" t="s">
        <v>32</v>
      </c>
      <c r="D397" s="2" t="s">
        <v>47</v>
      </c>
      <c r="E397" s="2" t="s">
        <v>34</v>
      </c>
      <c r="F397" s="2" t="s">
        <v>38</v>
      </c>
      <c r="G397" s="2">
        <v>9</v>
      </c>
      <c r="H397" s="2">
        <v>3252.54</v>
      </c>
      <c r="I397" s="2">
        <v>10</v>
      </c>
      <c r="J397" s="2" t="s">
        <v>14</v>
      </c>
      <c r="K397">
        <f t="shared" si="6"/>
        <v>29272.86</v>
      </c>
      <c r="L397">
        <f>K397-(K397*I397/100)</f>
        <v>26345.574000000001</v>
      </c>
    </row>
    <row r="398" spans="1:12" x14ac:dyDescent="0.25">
      <c r="A398" s="2">
        <v>10397</v>
      </c>
      <c r="B398" s="8">
        <v>45845</v>
      </c>
      <c r="C398" s="2" t="s">
        <v>54</v>
      </c>
      <c r="D398" s="2" t="s">
        <v>25</v>
      </c>
      <c r="E398" s="2" t="s">
        <v>12</v>
      </c>
      <c r="F398" s="2" t="s">
        <v>22</v>
      </c>
      <c r="G398" s="2">
        <v>11</v>
      </c>
      <c r="H398" s="2">
        <v>491.91</v>
      </c>
      <c r="I398" s="2">
        <v>20</v>
      </c>
      <c r="J398" s="2" t="s">
        <v>26</v>
      </c>
      <c r="K398">
        <f t="shared" si="6"/>
        <v>5411.01</v>
      </c>
      <c r="L398">
        <f>K398-(K398*I398/100)</f>
        <v>4328.808</v>
      </c>
    </row>
    <row r="399" spans="1:12" x14ac:dyDescent="0.25">
      <c r="A399" s="2">
        <v>10398</v>
      </c>
      <c r="B399" s="8">
        <v>45952</v>
      </c>
      <c r="C399" s="2" t="s">
        <v>10</v>
      </c>
      <c r="D399" s="2" t="s">
        <v>11</v>
      </c>
      <c r="E399" s="2" t="s">
        <v>40</v>
      </c>
      <c r="F399" s="2" t="s">
        <v>49</v>
      </c>
      <c r="G399" s="2">
        <v>8</v>
      </c>
      <c r="H399" s="2">
        <v>2863.94</v>
      </c>
      <c r="I399" s="2">
        <v>10</v>
      </c>
      <c r="J399" s="2" t="s">
        <v>30</v>
      </c>
      <c r="K399">
        <f t="shared" si="6"/>
        <v>22911.52</v>
      </c>
      <c r="L399">
        <f>K399-(K399*I399/100)</f>
        <v>20620.368000000002</v>
      </c>
    </row>
    <row r="400" spans="1:12" x14ac:dyDescent="0.25">
      <c r="A400" s="2">
        <v>10399</v>
      </c>
      <c r="B400" s="8">
        <v>45788</v>
      </c>
      <c r="C400" s="2" t="s">
        <v>43</v>
      </c>
      <c r="D400" s="2" t="s">
        <v>25</v>
      </c>
      <c r="E400" s="2" t="s">
        <v>17</v>
      </c>
      <c r="F400" s="2" t="s">
        <v>28</v>
      </c>
      <c r="G400" s="2">
        <v>12</v>
      </c>
      <c r="H400" s="2">
        <v>4526.3100000000004</v>
      </c>
      <c r="I400" s="2">
        <v>20</v>
      </c>
      <c r="J400" s="2" t="s">
        <v>23</v>
      </c>
      <c r="K400">
        <f t="shared" si="6"/>
        <v>54315.72</v>
      </c>
      <c r="L400">
        <f>K400-(K400*I400/100)</f>
        <v>43452.576000000001</v>
      </c>
    </row>
    <row r="401" spans="1:12" x14ac:dyDescent="0.25">
      <c r="A401" s="2">
        <v>10400</v>
      </c>
      <c r="B401" s="8">
        <v>45881</v>
      </c>
      <c r="C401" s="2" t="s">
        <v>24</v>
      </c>
      <c r="D401" s="2" t="s">
        <v>37</v>
      </c>
      <c r="E401" s="2" t="s">
        <v>34</v>
      </c>
      <c r="F401" s="2" t="s">
        <v>38</v>
      </c>
      <c r="G401" s="2">
        <v>20</v>
      </c>
      <c r="H401" s="2">
        <v>819.81</v>
      </c>
      <c r="I401" s="2">
        <v>20</v>
      </c>
      <c r="J401" s="2" t="s">
        <v>23</v>
      </c>
      <c r="K401">
        <f t="shared" si="6"/>
        <v>16396.199999999997</v>
      </c>
      <c r="L401">
        <f>K401-(K401*I401/100)</f>
        <v>13116.959999999997</v>
      </c>
    </row>
    <row r="402" spans="1:12" x14ac:dyDescent="0.25">
      <c r="A402" s="2">
        <v>10401</v>
      </c>
      <c r="B402" s="8">
        <v>45810</v>
      </c>
      <c r="C402" s="2" t="s">
        <v>54</v>
      </c>
      <c r="D402" s="2" t="s">
        <v>16</v>
      </c>
      <c r="E402" s="2" t="s">
        <v>40</v>
      </c>
      <c r="F402" s="2" t="s">
        <v>53</v>
      </c>
      <c r="G402" s="2">
        <v>11</v>
      </c>
      <c r="H402" s="2">
        <v>4764.49</v>
      </c>
      <c r="I402" s="2">
        <v>15</v>
      </c>
      <c r="J402" s="2" t="s">
        <v>23</v>
      </c>
      <c r="K402">
        <f t="shared" si="6"/>
        <v>52409.39</v>
      </c>
      <c r="L402">
        <f>K402-(K402*I402/100)</f>
        <v>44547.981500000002</v>
      </c>
    </row>
    <row r="403" spans="1:12" x14ac:dyDescent="0.25">
      <c r="A403" s="2">
        <v>10402</v>
      </c>
      <c r="B403" s="8">
        <v>45703</v>
      </c>
      <c r="C403" s="2" t="s">
        <v>32</v>
      </c>
      <c r="D403" s="2" t="s">
        <v>25</v>
      </c>
      <c r="E403" s="2" t="s">
        <v>34</v>
      </c>
      <c r="F403" s="2" t="s">
        <v>35</v>
      </c>
      <c r="G403" s="2">
        <v>3</v>
      </c>
      <c r="H403" s="2">
        <v>3309.66</v>
      </c>
      <c r="I403" s="2">
        <v>15</v>
      </c>
      <c r="J403" s="2" t="s">
        <v>14</v>
      </c>
      <c r="K403">
        <f t="shared" si="6"/>
        <v>9928.98</v>
      </c>
      <c r="L403">
        <f>K403-(K403*I403/100)</f>
        <v>8439.6329999999998</v>
      </c>
    </row>
    <row r="404" spans="1:12" x14ac:dyDescent="0.25">
      <c r="A404" s="2">
        <v>10403</v>
      </c>
      <c r="B404" s="8">
        <v>45658</v>
      </c>
      <c r="C404" s="2" t="s">
        <v>27</v>
      </c>
      <c r="D404" s="2" t="s">
        <v>37</v>
      </c>
      <c r="E404" s="2" t="s">
        <v>12</v>
      </c>
      <c r="F404" s="2" t="s">
        <v>56</v>
      </c>
      <c r="G404" s="2">
        <v>17</v>
      </c>
      <c r="H404" s="2">
        <v>3674.24</v>
      </c>
      <c r="I404" s="2">
        <v>15</v>
      </c>
      <c r="J404" s="2" t="s">
        <v>19</v>
      </c>
      <c r="K404">
        <f t="shared" si="6"/>
        <v>62462.079999999994</v>
      </c>
      <c r="L404">
        <f>K404-(K404*I404/100)</f>
        <v>53092.767999999996</v>
      </c>
    </row>
    <row r="405" spans="1:12" x14ac:dyDescent="0.25">
      <c r="A405" s="2">
        <v>10404</v>
      </c>
      <c r="B405" s="8">
        <v>45974</v>
      </c>
      <c r="C405" s="2" t="s">
        <v>24</v>
      </c>
      <c r="D405" s="2" t="s">
        <v>21</v>
      </c>
      <c r="E405" s="2" t="s">
        <v>17</v>
      </c>
      <c r="F405" s="2" t="s">
        <v>36</v>
      </c>
      <c r="G405" s="2">
        <v>12</v>
      </c>
      <c r="H405" s="2">
        <v>80.599999999999994</v>
      </c>
      <c r="I405" s="2">
        <v>15</v>
      </c>
      <c r="J405" s="2" t="s">
        <v>14</v>
      </c>
      <c r="K405">
        <f t="shared" si="6"/>
        <v>967.19999999999993</v>
      </c>
      <c r="L405">
        <f>K405-(K405*I405/100)</f>
        <v>822.11999999999989</v>
      </c>
    </row>
    <row r="406" spans="1:12" x14ac:dyDescent="0.25">
      <c r="A406" s="2">
        <v>10405</v>
      </c>
      <c r="B406" s="8">
        <v>45695</v>
      </c>
      <c r="C406" s="2" t="s">
        <v>15</v>
      </c>
      <c r="D406" s="2" t="s">
        <v>25</v>
      </c>
      <c r="E406" s="2" t="s">
        <v>40</v>
      </c>
      <c r="F406" s="2" t="s">
        <v>46</v>
      </c>
      <c r="G406" s="2">
        <v>14</v>
      </c>
      <c r="H406" s="2">
        <v>4500.47</v>
      </c>
      <c r="I406" s="2">
        <v>20</v>
      </c>
      <c r="J406" s="2" t="s">
        <v>19</v>
      </c>
      <c r="K406">
        <f t="shared" si="6"/>
        <v>63006.58</v>
      </c>
      <c r="L406">
        <f>K406-(K406*I406/100)</f>
        <v>50405.264000000003</v>
      </c>
    </row>
    <row r="407" spans="1:12" x14ac:dyDescent="0.25">
      <c r="A407" s="2">
        <v>10406</v>
      </c>
      <c r="B407" s="8">
        <v>45786</v>
      </c>
      <c r="C407" s="2" t="s">
        <v>48</v>
      </c>
      <c r="D407" s="2" t="s">
        <v>52</v>
      </c>
      <c r="E407" s="2" t="s">
        <v>12</v>
      </c>
      <c r="F407" s="2" t="s">
        <v>22</v>
      </c>
      <c r="G407" s="2">
        <v>12</v>
      </c>
      <c r="H407" s="2">
        <v>4018.61</v>
      </c>
      <c r="I407" s="2">
        <v>20</v>
      </c>
      <c r="J407" s="2" t="s">
        <v>30</v>
      </c>
      <c r="K407">
        <f t="shared" si="6"/>
        <v>48223.32</v>
      </c>
      <c r="L407">
        <f>K407-(K407*I407/100)</f>
        <v>38578.656000000003</v>
      </c>
    </row>
    <row r="408" spans="1:12" x14ac:dyDescent="0.25">
      <c r="A408" s="2">
        <v>10407</v>
      </c>
      <c r="B408" s="8">
        <v>45734</v>
      </c>
      <c r="C408" s="2" t="s">
        <v>10</v>
      </c>
      <c r="D408" s="2" t="s">
        <v>29</v>
      </c>
      <c r="E408" s="2" t="s">
        <v>40</v>
      </c>
      <c r="F408" s="2" t="s">
        <v>46</v>
      </c>
      <c r="G408" s="2">
        <v>9</v>
      </c>
      <c r="H408" s="2">
        <v>347.75</v>
      </c>
      <c r="I408" s="2">
        <v>10</v>
      </c>
      <c r="J408" s="2" t="s">
        <v>14</v>
      </c>
      <c r="K408">
        <f t="shared" si="6"/>
        <v>3129.75</v>
      </c>
      <c r="L408">
        <f>K408-(K408*I408/100)</f>
        <v>2816.7750000000001</v>
      </c>
    </row>
    <row r="409" spans="1:12" x14ac:dyDescent="0.25">
      <c r="A409" s="2">
        <v>10408</v>
      </c>
      <c r="B409" s="8">
        <v>45998</v>
      </c>
      <c r="C409" s="2" t="s">
        <v>10</v>
      </c>
      <c r="D409" s="2" t="s">
        <v>11</v>
      </c>
      <c r="E409" s="2" t="s">
        <v>40</v>
      </c>
      <c r="F409" s="2" t="s">
        <v>46</v>
      </c>
      <c r="G409" s="2">
        <v>10</v>
      </c>
      <c r="H409" s="2">
        <v>4708.66</v>
      </c>
      <c r="I409" s="2">
        <v>20</v>
      </c>
      <c r="J409" s="2" t="s">
        <v>23</v>
      </c>
      <c r="K409">
        <f t="shared" si="6"/>
        <v>47086.6</v>
      </c>
      <c r="L409">
        <f>K409-(K409*I409/100)</f>
        <v>37669.279999999999</v>
      </c>
    </row>
    <row r="410" spans="1:12" x14ac:dyDescent="0.25">
      <c r="A410" s="2">
        <v>10409</v>
      </c>
      <c r="B410" s="8">
        <v>45713</v>
      </c>
      <c r="C410" s="2" t="s">
        <v>31</v>
      </c>
      <c r="D410" s="2" t="s">
        <v>29</v>
      </c>
      <c r="E410" s="2" t="s">
        <v>12</v>
      </c>
      <c r="F410" s="2" t="s">
        <v>22</v>
      </c>
      <c r="G410" s="2">
        <v>5</v>
      </c>
      <c r="H410" s="2">
        <v>2813.73</v>
      </c>
      <c r="I410" s="2">
        <v>15</v>
      </c>
      <c r="J410" s="2" t="s">
        <v>30</v>
      </c>
      <c r="K410">
        <f t="shared" si="6"/>
        <v>14068.65</v>
      </c>
      <c r="L410">
        <f>K410-(K410*I410/100)</f>
        <v>11958.352499999999</v>
      </c>
    </row>
    <row r="411" spans="1:12" x14ac:dyDescent="0.25">
      <c r="A411" s="2">
        <v>10410</v>
      </c>
      <c r="B411" s="8">
        <v>45686</v>
      </c>
      <c r="C411" s="2" t="s">
        <v>54</v>
      </c>
      <c r="D411" s="2" t="s">
        <v>51</v>
      </c>
      <c r="E411" s="2" t="s">
        <v>12</v>
      </c>
      <c r="F411" s="2" t="s">
        <v>33</v>
      </c>
      <c r="G411" s="2">
        <v>16</v>
      </c>
      <c r="H411" s="2">
        <v>401.67</v>
      </c>
      <c r="I411" s="2">
        <v>20</v>
      </c>
      <c r="J411" s="2" t="s">
        <v>23</v>
      </c>
      <c r="K411">
        <f t="shared" si="6"/>
        <v>6426.72</v>
      </c>
      <c r="L411">
        <f>K411-(K411*I411/100)</f>
        <v>5141.3760000000002</v>
      </c>
    </row>
    <row r="412" spans="1:12" x14ac:dyDescent="0.25">
      <c r="A412" s="2">
        <v>10411</v>
      </c>
      <c r="B412" s="8">
        <v>45942</v>
      </c>
      <c r="C412" s="2" t="s">
        <v>10</v>
      </c>
      <c r="D412" s="2" t="s">
        <v>45</v>
      </c>
      <c r="E412" s="2" t="s">
        <v>12</v>
      </c>
      <c r="F412" s="2" t="s">
        <v>33</v>
      </c>
      <c r="G412" s="2">
        <v>12</v>
      </c>
      <c r="H412" s="2">
        <v>2757.96</v>
      </c>
      <c r="I412" s="2">
        <v>0</v>
      </c>
      <c r="J412" s="2" t="s">
        <v>19</v>
      </c>
      <c r="K412">
        <f t="shared" si="6"/>
        <v>33095.520000000004</v>
      </c>
      <c r="L412">
        <f>K412-(K412*I412/100)</f>
        <v>33095.520000000004</v>
      </c>
    </row>
    <row r="413" spans="1:12" x14ac:dyDescent="0.25">
      <c r="A413" s="2">
        <v>10412</v>
      </c>
      <c r="B413" s="8">
        <v>45707</v>
      </c>
      <c r="C413" s="2" t="s">
        <v>20</v>
      </c>
      <c r="D413" s="2" t="s">
        <v>51</v>
      </c>
      <c r="E413" s="2" t="s">
        <v>12</v>
      </c>
      <c r="F413" s="2" t="s">
        <v>33</v>
      </c>
      <c r="G413" s="2">
        <v>7</v>
      </c>
      <c r="H413" s="2">
        <v>1357.72</v>
      </c>
      <c r="I413" s="2">
        <v>20</v>
      </c>
      <c r="J413" s="2" t="s">
        <v>14</v>
      </c>
      <c r="K413">
        <f t="shared" si="6"/>
        <v>9504.0400000000009</v>
      </c>
      <c r="L413">
        <f>K413-(K413*I413/100)</f>
        <v>7603.2320000000009</v>
      </c>
    </row>
    <row r="414" spans="1:12" x14ac:dyDescent="0.25">
      <c r="A414" s="2">
        <v>10413</v>
      </c>
      <c r="B414" s="8">
        <v>45662</v>
      </c>
      <c r="C414" s="2" t="s">
        <v>27</v>
      </c>
      <c r="D414" s="2" t="s">
        <v>21</v>
      </c>
      <c r="E414" s="2" t="s">
        <v>40</v>
      </c>
      <c r="F414" s="2" t="s">
        <v>53</v>
      </c>
      <c r="G414" s="2">
        <v>16</v>
      </c>
      <c r="H414" s="2">
        <v>468</v>
      </c>
      <c r="I414" s="2">
        <v>15</v>
      </c>
      <c r="J414" s="2" t="s">
        <v>26</v>
      </c>
      <c r="K414">
        <f t="shared" si="6"/>
        <v>7488</v>
      </c>
      <c r="L414">
        <f>K414-(K414*I414/100)</f>
        <v>6364.8</v>
      </c>
    </row>
    <row r="415" spans="1:12" x14ac:dyDescent="0.25">
      <c r="A415" s="2">
        <v>10414</v>
      </c>
      <c r="B415" s="8">
        <v>45889</v>
      </c>
      <c r="C415" s="2" t="s">
        <v>32</v>
      </c>
      <c r="D415" s="2" t="s">
        <v>21</v>
      </c>
      <c r="E415" s="2" t="s">
        <v>12</v>
      </c>
      <c r="F415" s="2" t="s">
        <v>33</v>
      </c>
      <c r="G415" s="2">
        <v>4</v>
      </c>
      <c r="H415" s="2">
        <v>2117.8200000000002</v>
      </c>
      <c r="I415" s="2">
        <v>5</v>
      </c>
      <c r="J415" s="2" t="s">
        <v>19</v>
      </c>
      <c r="K415">
        <f t="shared" si="6"/>
        <v>8471.2800000000007</v>
      </c>
      <c r="L415">
        <f>K415-(K415*I415/100)</f>
        <v>8047.7160000000003</v>
      </c>
    </row>
    <row r="416" spans="1:12" x14ac:dyDescent="0.25">
      <c r="A416" s="2">
        <v>10415</v>
      </c>
      <c r="B416" s="8">
        <v>45870</v>
      </c>
      <c r="C416" s="2" t="s">
        <v>39</v>
      </c>
      <c r="D416" s="2" t="s">
        <v>37</v>
      </c>
      <c r="E416" s="2" t="s">
        <v>17</v>
      </c>
      <c r="F416" s="2" t="s">
        <v>55</v>
      </c>
      <c r="G416" s="2">
        <v>20</v>
      </c>
      <c r="H416" s="2">
        <v>3429.67</v>
      </c>
      <c r="I416" s="2">
        <v>0</v>
      </c>
      <c r="J416" s="2" t="s">
        <v>23</v>
      </c>
      <c r="K416">
        <f t="shared" si="6"/>
        <v>68593.399999999994</v>
      </c>
      <c r="L416">
        <f>K416-(K416*I416/100)</f>
        <v>68593.399999999994</v>
      </c>
    </row>
    <row r="417" spans="1:12" x14ac:dyDescent="0.25">
      <c r="A417" s="2">
        <v>10416</v>
      </c>
      <c r="B417" s="8">
        <v>45985</v>
      </c>
      <c r="C417" s="2" t="s">
        <v>43</v>
      </c>
      <c r="D417" s="2" t="s">
        <v>16</v>
      </c>
      <c r="E417" s="2" t="s">
        <v>40</v>
      </c>
      <c r="F417" s="2" t="s">
        <v>53</v>
      </c>
      <c r="G417" s="2">
        <v>4</v>
      </c>
      <c r="H417" s="2">
        <v>461.72</v>
      </c>
      <c r="I417" s="2">
        <v>15</v>
      </c>
      <c r="J417" s="2" t="s">
        <v>30</v>
      </c>
      <c r="K417">
        <f t="shared" si="6"/>
        <v>1846.88</v>
      </c>
      <c r="L417">
        <f>K417-(K417*I417/100)</f>
        <v>1569.8480000000002</v>
      </c>
    </row>
    <row r="418" spans="1:12" x14ac:dyDescent="0.25">
      <c r="A418" s="2">
        <v>10417</v>
      </c>
      <c r="B418" s="8">
        <v>45799</v>
      </c>
      <c r="C418" s="2" t="s">
        <v>10</v>
      </c>
      <c r="D418" s="2" t="s">
        <v>45</v>
      </c>
      <c r="E418" s="2" t="s">
        <v>34</v>
      </c>
      <c r="F418" s="2" t="s">
        <v>44</v>
      </c>
      <c r="G418" s="2">
        <v>19</v>
      </c>
      <c r="H418" s="2">
        <v>3662.3</v>
      </c>
      <c r="I418" s="2">
        <v>10</v>
      </c>
      <c r="J418" s="2" t="s">
        <v>14</v>
      </c>
      <c r="K418">
        <f t="shared" si="6"/>
        <v>69583.7</v>
      </c>
      <c r="L418">
        <f>K418-(K418*I418/100)</f>
        <v>62625.329999999994</v>
      </c>
    </row>
    <row r="419" spans="1:12" x14ac:dyDescent="0.25">
      <c r="A419" s="2">
        <v>10418</v>
      </c>
      <c r="B419" s="8">
        <v>45878</v>
      </c>
      <c r="C419" s="2" t="s">
        <v>27</v>
      </c>
      <c r="D419" s="2" t="s">
        <v>11</v>
      </c>
      <c r="E419" s="2" t="s">
        <v>17</v>
      </c>
      <c r="F419" s="2" t="s">
        <v>28</v>
      </c>
      <c r="G419" s="2">
        <v>10</v>
      </c>
      <c r="H419" s="2">
        <v>4131.0600000000004</v>
      </c>
      <c r="I419" s="2">
        <v>10</v>
      </c>
      <c r="J419" s="2" t="s">
        <v>23</v>
      </c>
      <c r="K419">
        <f t="shared" si="6"/>
        <v>41310.600000000006</v>
      </c>
      <c r="L419">
        <f>K419-(K419*I419/100)</f>
        <v>37179.540000000008</v>
      </c>
    </row>
    <row r="420" spans="1:12" x14ac:dyDescent="0.25">
      <c r="A420" s="2">
        <v>10419</v>
      </c>
      <c r="B420" s="8">
        <v>45917</v>
      </c>
      <c r="C420" s="2" t="s">
        <v>24</v>
      </c>
      <c r="D420" s="2" t="s">
        <v>25</v>
      </c>
      <c r="E420" s="2" t="s">
        <v>34</v>
      </c>
      <c r="F420" s="2" t="s">
        <v>35</v>
      </c>
      <c r="G420" s="2">
        <v>13</v>
      </c>
      <c r="H420" s="2">
        <v>1896.56</v>
      </c>
      <c r="I420" s="2">
        <v>5</v>
      </c>
      <c r="J420" s="2" t="s">
        <v>19</v>
      </c>
      <c r="K420">
        <f t="shared" si="6"/>
        <v>24655.279999999999</v>
      </c>
      <c r="L420">
        <f>K420-(K420*I420/100)</f>
        <v>23422.516</v>
      </c>
    </row>
    <row r="421" spans="1:12" x14ac:dyDescent="0.25">
      <c r="A421" s="2">
        <v>10420</v>
      </c>
      <c r="B421" s="8">
        <v>45738</v>
      </c>
      <c r="C421" s="2" t="s">
        <v>15</v>
      </c>
      <c r="D421" s="2" t="s">
        <v>45</v>
      </c>
      <c r="E421" s="2" t="s">
        <v>12</v>
      </c>
      <c r="F421" s="2" t="s">
        <v>13</v>
      </c>
      <c r="G421" s="2">
        <v>2</v>
      </c>
      <c r="H421" s="2">
        <v>2949.41</v>
      </c>
      <c r="I421" s="2">
        <v>15</v>
      </c>
      <c r="J421" s="2" t="s">
        <v>26</v>
      </c>
      <c r="K421">
        <f t="shared" si="6"/>
        <v>5898.82</v>
      </c>
      <c r="L421">
        <f>K421-(K421*I421/100)</f>
        <v>5013.9969999999994</v>
      </c>
    </row>
    <row r="422" spans="1:12" x14ac:dyDescent="0.25">
      <c r="A422" s="2">
        <v>10421</v>
      </c>
      <c r="B422" s="8">
        <v>45773</v>
      </c>
      <c r="C422" s="2" t="s">
        <v>27</v>
      </c>
      <c r="D422" s="2" t="s">
        <v>11</v>
      </c>
      <c r="E422" s="2" t="s">
        <v>40</v>
      </c>
      <c r="F422" s="2" t="s">
        <v>53</v>
      </c>
      <c r="G422" s="2">
        <v>14</v>
      </c>
      <c r="H422" s="2">
        <v>2572.65</v>
      </c>
      <c r="I422" s="2">
        <v>10</v>
      </c>
      <c r="J422" s="2" t="s">
        <v>30</v>
      </c>
      <c r="K422">
        <f t="shared" si="6"/>
        <v>36017.1</v>
      </c>
      <c r="L422">
        <f>K422-(K422*I422/100)</f>
        <v>32415.39</v>
      </c>
    </row>
    <row r="423" spans="1:12" x14ac:dyDescent="0.25">
      <c r="A423" s="2">
        <v>10422</v>
      </c>
      <c r="B423" s="8">
        <v>45857</v>
      </c>
      <c r="C423" s="2" t="s">
        <v>42</v>
      </c>
      <c r="D423" s="2" t="s">
        <v>16</v>
      </c>
      <c r="E423" s="2" t="s">
        <v>12</v>
      </c>
      <c r="F423" s="2" t="s">
        <v>33</v>
      </c>
      <c r="G423" s="2">
        <v>5</v>
      </c>
      <c r="H423" s="2">
        <v>1646.36</v>
      </c>
      <c r="I423" s="2">
        <v>10</v>
      </c>
      <c r="J423" s="2" t="s">
        <v>30</v>
      </c>
      <c r="K423">
        <f t="shared" si="6"/>
        <v>8231.7999999999993</v>
      </c>
      <c r="L423">
        <f>K423-(K423*I423/100)</f>
        <v>7408.619999999999</v>
      </c>
    </row>
    <row r="424" spans="1:12" x14ac:dyDescent="0.25">
      <c r="A424" s="2">
        <v>10423</v>
      </c>
      <c r="B424" s="8">
        <v>45732</v>
      </c>
      <c r="C424" s="2" t="s">
        <v>10</v>
      </c>
      <c r="D424" s="2" t="s">
        <v>21</v>
      </c>
      <c r="E424" s="2" t="s">
        <v>17</v>
      </c>
      <c r="F424" s="2" t="s">
        <v>36</v>
      </c>
      <c r="G424" s="2">
        <v>8</v>
      </c>
      <c r="H424" s="2">
        <v>1633.88</v>
      </c>
      <c r="I424" s="2">
        <v>10</v>
      </c>
      <c r="J424" s="2" t="s">
        <v>26</v>
      </c>
      <c r="K424">
        <f t="shared" si="6"/>
        <v>13071.04</v>
      </c>
      <c r="L424">
        <f>K424-(K424*I424/100)</f>
        <v>11763.936000000002</v>
      </c>
    </row>
    <row r="425" spans="1:12" x14ac:dyDescent="0.25">
      <c r="A425" s="2">
        <v>10424</v>
      </c>
      <c r="B425" s="8">
        <v>45849</v>
      </c>
      <c r="C425" s="2" t="s">
        <v>42</v>
      </c>
      <c r="D425" s="2" t="s">
        <v>25</v>
      </c>
      <c r="E425" s="2" t="s">
        <v>17</v>
      </c>
      <c r="F425" s="2" t="s">
        <v>55</v>
      </c>
      <c r="G425" s="2">
        <v>6</v>
      </c>
      <c r="H425" s="2">
        <v>3898.12</v>
      </c>
      <c r="I425" s="2">
        <v>0</v>
      </c>
      <c r="J425" s="2" t="s">
        <v>30</v>
      </c>
      <c r="K425">
        <f t="shared" si="6"/>
        <v>23388.720000000001</v>
      </c>
      <c r="L425">
        <f>K425-(K425*I425/100)</f>
        <v>23388.720000000001</v>
      </c>
    </row>
    <row r="426" spans="1:12" x14ac:dyDescent="0.25">
      <c r="A426" s="2">
        <v>10425</v>
      </c>
      <c r="B426" s="8">
        <v>45719</v>
      </c>
      <c r="C426" s="2" t="s">
        <v>10</v>
      </c>
      <c r="D426" s="2" t="s">
        <v>51</v>
      </c>
      <c r="E426" s="2" t="s">
        <v>34</v>
      </c>
      <c r="F426" s="2" t="s">
        <v>50</v>
      </c>
      <c r="G426" s="2">
        <v>2</v>
      </c>
      <c r="H426" s="2">
        <v>3971.77</v>
      </c>
      <c r="I426" s="2">
        <v>20</v>
      </c>
      <c r="J426" s="2" t="s">
        <v>26</v>
      </c>
      <c r="K426">
        <f t="shared" si="6"/>
        <v>7943.54</v>
      </c>
      <c r="L426">
        <f>K426-(K426*I426/100)</f>
        <v>6354.8320000000003</v>
      </c>
    </row>
    <row r="427" spans="1:12" x14ac:dyDescent="0.25">
      <c r="A427" s="2">
        <v>10426</v>
      </c>
      <c r="B427" s="8">
        <v>45837</v>
      </c>
      <c r="C427" s="2" t="s">
        <v>32</v>
      </c>
      <c r="D427" s="2" t="s">
        <v>47</v>
      </c>
      <c r="E427" s="2" t="s">
        <v>40</v>
      </c>
      <c r="F427" s="2" t="s">
        <v>49</v>
      </c>
      <c r="G427" s="2">
        <v>14</v>
      </c>
      <c r="H427" s="2">
        <v>4935.6099999999997</v>
      </c>
      <c r="I427" s="2">
        <v>0</v>
      </c>
      <c r="J427" s="2" t="s">
        <v>23</v>
      </c>
      <c r="K427">
        <f t="shared" si="6"/>
        <v>69098.539999999994</v>
      </c>
      <c r="L427">
        <f>K427-(K427*I427/100)</f>
        <v>69098.539999999994</v>
      </c>
    </row>
    <row r="428" spans="1:12" x14ac:dyDescent="0.25">
      <c r="A428" s="2">
        <v>10427</v>
      </c>
      <c r="B428" s="8">
        <v>45748</v>
      </c>
      <c r="C428" s="2" t="s">
        <v>54</v>
      </c>
      <c r="D428" s="2" t="s">
        <v>29</v>
      </c>
      <c r="E428" s="2" t="s">
        <v>12</v>
      </c>
      <c r="F428" s="2" t="s">
        <v>56</v>
      </c>
      <c r="G428" s="2">
        <v>10</v>
      </c>
      <c r="H428" s="2">
        <v>3352.42</v>
      </c>
      <c r="I428" s="2">
        <v>10</v>
      </c>
      <c r="J428" s="2" t="s">
        <v>14</v>
      </c>
      <c r="K428">
        <f t="shared" si="6"/>
        <v>33524.199999999997</v>
      </c>
      <c r="L428">
        <f>K428-(K428*I428/100)</f>
        <v>30171.78</v>
      </c>
    </row>
    <row r="429" spans="1:12" x14ac:dyDescent="0.25">
      <c r="A429" s="2">
        <v>10428</v>
      </c>
      <c r="B429" s="8">
        <v>46001</v>
      </c>
      <c r="C429" s="2" t="s">
        <v>15</v>
      </c>
      <c r="D429" s="2" t="s">
        <v>11</v>
      </c>
      <c r="E429" s="2" t="s">
        <v>40</v>
      </c>
      <c r="F429" s="2" t="s">
        <v>53</v>
      </c>
      <c r="G429" s="2">
        <v>17</v>
      </c>
      <c r="H429" s="2">
        <v>566.38</v>
      </c>
      <c r="I429" s="2">
        <v>15</v>
      </c>
      <c r="J429" s="2" t="s">
        <v>26</v>
      </c>
      <c r="K429">
        <f t="shared" si="6"/>
        <v>9628.4599999999991</v>
      </c>
      <c r="L429">
        <f>K429-(K429*I429/100)</f>
        <v>8184.1909999999989</v>
      </c>
    </row>
    <row r="430" spans="1:12" x14ac:dyDescent="0.25">
      <c r="A430" s="2">
        <v>10429</v>
      </c>
      <c r="B430" s="8">
        <v>45863</v>
      </c>
      <c r="C430" s="2" t="s">
        <v>15</v>
      </c>
      <c r="D430" s="2" t="s">
        <v>16</v>
      </c>
      <c r="E430" s="2" t="s">
        <v>40</v>
      </c>
      <c r="F430" s="2" t="s">
        <v>41</v>
      </c>
      <c r="G430" s="2">
        <v>1</v>
      </c>
      <c r="H430" s="2">
        <v>2821.46</v>
      </c>
      <c r="I430" s="2">
        <v>15</v>
      </c>
      <c r="J430" s="2" t="s">
        <v>14</v>
      </c>
      <c r="K430">
        <f t="shared" si="6"/>
        <v>2821.46</v>
      </c>
      <c r="L430">
        <f>K430-(K430*I430/100)</f>
        <v>2398.241</v>
      </c>
    </row>
    <row r="431" spans="1:12" x14ac:dyDescent="0.25">
      <c r="A431" s="2">
        <v>10430</v>
      </c>
      <c r="B431" s="8">
        <v>45828</v>
      </c>
      <c r="C431" s="2" t="s">
        <v>15</v>
      </c>
      <c r="D431" s="2" t="s">
        <v>37</v>
      </c>
      <c r="E431" s="2" t="s">
        <v>17</v>
      </c>
      <c r="F431" s="2" t="s">
        <v>28</v>
      </c>
      <c r="G431" s="2">
        <v>18</v>
      </c>
      <c r="H431" s="2">
        <v>110.65</v>
      </c>
      <c r="I431" s="2">
        <v>5</v>
      </c>
      <c r="J431" s="2" t="s">
        <v>26</v>
      </c>
      <c r="K431">
        <f t="shared" si="6"/>
        <v>1991.7</v>
      </c>
      <c r="L431">
        <f>K431-(K431*I431/100)</f>
        <v>1892.115</v>
      </c>
    </row>
    <row r="432" spans="1:12" x14ac:dyDescent="0.25">
      <c r="A432" s="2">
        <v>10431</v>
      </c>
      <c r="B432" s="8">
        <v>45866</v>
      </c>
      <c r="C432" s="2" t="s">
        <v>20</v>
      </c>
      <c r="D432" s="2" t="s">
        <v>47</v>
      </c>
      <c r="E432" s="2" t="s">
        <v>17</v>
      </c>
      <c r="F432" s="2" t="s">
        <v>36</v>
      </c>
      <c r="G432" s="2">
        <v>10</v>
      </c>
      <c r="H432" s="2">
        <v>1757.27</v>
      </c>
      <c r="I432" s="2">
        <v>10</v>
      </c>
      <c r="J432" s="2" t="s">
        <v>30</v>
      </c>
      <c r="K432">
        <f t="shared" si="6"/>
        <v>17572.7</v>
      </c>
      <c r="L432">
        <f>K432-(K432*I432/100)</f>
        <v>15815.43</v>
      </c>
    </row>
    <row r="433" spans="1:12" x14ac:dyDescent="0.25">
      <c r="A433" s="2">
        <v>10432</v>
      </c>
      <c r="B433" s="8">
        <v>45750</v>
      </c>
      <c r="C433" s="2" t="s">
        <v>39</v>
      </c>
      <c r="D433" s="2" t="s">
        <v>16</v>
      </c>
      <c r="E433" s="2" t="s">
        <v>17</v>
      </c>
      <c r="F433" s="2" t="s">
        <v>36</v>
      </c>
      <c r="G433" s="2">
        <v>2</v>
      </c>
      <c r="H433" s="2">
        <v>984.23</v>
      </c>
      <c r="I433" s="2">
        <v>15</v>
      </c>
      <c r="J433" s="2" t="s">
        <v>23</v>
      </c>
      <c r="K433">
        <f t="shared" si="6"/>
        <v>1968.46</v>
      </c>
      <c r="L433">
        <f>K433-(K433*I433/100)</f>
        <v>1673.191</v>
      </c>
    </row>
    <row r="434" spans="1:12" x14ac:dyDescent="0.25">
      <c r="A434" s="2">
        <v>10433</v>
      </c>
      <c r="B434" s="8">
        <v>45983</v>
      </c>
      <c r="C434" s="2" t="s">
        <v>31</v>
      </c>
      <c r="D434" s="2" t="s">
        <v>29</v>
      </c>
      <c r="E434" s="2" t="s">
        <v>34</v>
      </c>
      <c r="F434" s="2" t="s">
        <v>38</v>
      </c>
      <c r="G434" s="2">
        <v>4</v>
      </c>
      <c r="H434" s="2">
        <v>4356.88</v>
      </c>
      <c r="I434" s="2">
        <v>0</v>
      </c>
      <c r="J434" s="2" t="s">
        <v>30</v>
      </c>
      <c r="K434">
        <f t="shared" si="6"/>
        <v>17427.52</v>
      </c>
      <c r="L434">
        <f>K434-(K434*I434/100)</f>
        <v>17427.52</v>
      </c>
    </row>
    <row r="435" spans="1:12" x14ac:dyDescent="0.25">
      <c r="A435" s="2">
        <v>10434</v>
      </c>
      <c r="B435" s="8">
        <v>45791</v>
      </c>
      <c r="C435" s="2" t="s">
        <v>32</v>
      </c>
      <c r="D435" s="2" t="s">
        <v>37</v>
      </c>
      <c r="E435" s="2" t="s">
        <v>40</v>
      </c>
      <c r="F435" s="2" t="s">
        <v>53</v>
      </c>
      <c r="G435" s="2">
        <v>12</v>
      </c>
      <c r="H435" s="2">
        <v>4797.13</v>
      </c>
      <c r="I435" s="2">
        <v>20</v>
      </c>
      <c r="J435" s="2" t="s">
        <v>26</v>
      </c>
      <c r="K435">
        <f t="shared" si="6"/>
        <v>57565.56</v>
      </c>
      <c r="L435">
        <f>K435-(K435*I435/100)</f>
        <v>46052.447999999997</v>
      </c>
    </row>
    <row r="436" spans="1:12" x14ac:dyDescent="0.25">
      <c r="A436" s="2">
        <v>10435</v>
      </c>
      <c r="B436" s="8">
        <v>45990</v>
      </c>
      <c r="C436" s="2" t="s">
        <v>43</v>
      </c>
      <c r="D436" s="2" t="s">
        <v>52</v>
      </c>
      <c r="E436" s="2" t="s">
        <v>12</v>
      </c>
      <c r="F436" s="2" t="s">
        <v>33</v>
      </c>
      <c r="G436" s="2">
        <v>4</v>
      </c>
      <c r="H436" s="2">
        <v>4055</v>
      </c>
      <c r="I436" s="2">
        <v>20</v>
      </c>
      <c r="J436" s="2" t="s">
        <v>14</v>
      </c>
      <c r="K436">
        <f t="shared" si="6"/>
        <v>16220</v>
      </c>
      <c r="L436">
        <f>K436-(K436*I436/100)</f>
        <v>12976</v>
      </c>
    </row>
    <row r="437" spans="1:12" x14ac:dyDescent="0.25">
      <c r="A437" s="2">
        <v>10436</v>
      </c>
      <c r="B437" s="8">
        <v>45907</v>
      </c>
      <c r="C437" s="2" t="s">
        <v>27</v>
      </c>
      <c r="D437" s="2" t="s">
        <v>16</v>
      </c>
      <c r="E437" s="2" t="s">
        <v>40</v>
      </c>
      <c r="F437" s="2" t="s">
        <v>41</v>
      </c>
      <c r="G437" s="2">
        <v>15</v>
      </c>
      <c r="H437" s="2">
        <v>1551.63</v>
      </c>
      <c r="I437" s="2">
        <v>15</v>
      </c>
      <c r="J437" s="2" t="s">
        <v>23</v>
      </c>
      <c r="K437">
        <f t="shared" si="6"/>
        <v>23274.45</v>
      </c>
      <c r="L437">
        <f>K437-(K437*I437/100)</f>
        <v>19783.282500000001</v>
      </c>
    </row>
    <row r="438" spans="1:12" x14ac:dyDescent="0.25">
      <c r="A438" s="2">
        <v>10437</v>
      </c>
      <c r="B438" s="8">
        <v>45730</v>
      </c>
      <c r="C438" s="2" t="s">
        <v>39</v>
      </c>
      <c r="D438" s="2" t="s">
        <v>29</v>
      </c>
      <c r="E438" s="2" t="s">
        <v>12</v>
      </c>
      <c r="F438" s="2" t="s">
        <v>13</v>
      </c>
      <c r="G438" s="2">
        <v>11</v>
      </c>
      <c r="H438" s="2">
        <v>895.42</v>
      </c>
      <c r="I438" s="2">
        <v>10</v>
      </c>
      <c r="J438" s="2" t="s">
        <v>26</v>
      </c>
      <c r="K438">
        <f t="shared" si="6"/>
        <v>9849.619999999999</v>
      </c>
      <c r="L438">
        <f>K438-(K438*I438/100)</f>
        <v>8864.6579999999994</v>
      </c>
    </row>
    <row r="439" spans="1:12" x14ac:dyDescent="0.25">
      <c r="A439" s="2">
        <v>10438</v>
      </c>
      <c r="B439" s="8">
        <v>45799</v>
      </c>
      <c r="C439" s="2" t="s">
        <v>10</v>
      </c>
      <c r="D439" s="2" t="s">
        <v>16</v>
      </c>
      <c r="E439" s="2" t="s">
        <v>34</v>
      </c>
      <c r="F439" s="2" t="s">
        <v>50</v>
      </c>
      <c r="G439" s="2">
        <v>11</v>
      </c>
      <c r="H439" s="2">
        <v>4931.04</v>
      </c>
      <c r="I439" s="2">
        <v>5</v>
      </c>
      <c r="J439" s="2" t="s">
        <v>26</v>
      </c>
      <c r="K439">
        <f t="shared" si="6"/>
        <v>54241.440000000002</v>
      </c>
      <c r="L439">
        <f>K439-(K439*I439/100)</f>
        <v>51529.368000000002</v>
      </c>
    </row>
    <row r="440" spans="1:12" x14ac:dyDescent="0.25">
      <c r="A440" s="2">
        <v>10439</v>
      </c>
      <c r="B440" s="8">
        <v>45864</v>
      </c>
      <c r="C440" s="2" t="s">
        <v>43</v>
      </c>
      <c r="D440" s="2" t="s">
        <v>29</v>
      </c>
      <c r="E440" s="2" t="s">
        <v>40</v>
      </c>
      <c r="F440" s="2" t="s">
        <v>53</v>
      </c>
      <c r="G440" s="2">
        <v>4</v>
      </c>
      <c r="H440" s="2">
        <v>3845.08</v>
      </c>
      <c r="I440" s="2">
        <v>15</v>
      </c>
      <c r="J440" s="2" t="s">
        <v>26</v>
      </c>
      <c r="K440">
        <f t="shared" si="6"/>
        <v>15380.32</v>
      </c>
      <c r="L440">
        <f>K440-(K440*I440/100)</f>
        <v>13073.272000000001</v>
      </c>
    </row>
    <row r="441" spans="1:12" x14ac:dyDescent="0.25">
      <c r="A441" s="2">
        <v>10440</v>
      </c>
      <c r="B441" s="8">
        <v>45687</v>
      </c>
      <c r="C441" s="2" t="s">
        <v>15</v>
      </c>
      <c r="D441" s="2" t="s">
        <v>16</v>
      </c>
      <c r="E441" s="2" t="s">
        <v>34</v>
      </c>
      <c r="F441" s="2" t="s">
        <v>35</v>
      </c>
      <c r="G441" s="2">
        <v>15</v>
      </c>
      <c r="H441" s="2">
        <v>3592.86</v>
      </c>
      <c r="I441" s="2">
        <v>5</v>
      </c>
      <c r="J441" s="2" t="s">
        <v>30</v>
      </c>
      <c r="K441">
        <f t="shared" si="6"/>
        <v>53892.9</v>
      </c>
      <c r="L441">
        <f>K441-(K441*I441/100)</f>
        <v>51198.255000000005</v>
      </c>
    </row>
    <row r="442" spans="1:12" x14ac:dyDescent="0.25">
      <c r="A442" s="2">
        <v>10441</v>
      </c>
      <c r="B442" s="8">
        <v>45806</v>
      </c>
      <c r="C442" s="2" t="s">
        <v>54</v>
      </c>
      <c r="D442" s="2" t="s">
        <v>29</v>
      </c>
      <c r="E442" s="2" t="s">
        <v>40</v>
      </c>
      <c r="F442" s="2" t="s">
        <v>46</v>
      </c>
      <c r="G442" s="2">
        <v>9</v>
      </c>
      <c r="H442" s="2">
        <v>3081.51</v>
      </c>
      <c r="I442" s="2">
        <v>10</v>
      </c>
      <c r="J442" s="2" t="s">
        <v>14</v>
      </c>
      <c r="K442">
        <f t="shared" si="6"/>
        <v>27733.590000000004</v>
      </c>
      <c r="L442">
        <f>K442-(K442*I442/100)</f>
        <v>24960.231000000003</v>
      </c>
    </row>
    <row r="443" spans="1:12" x14ac:dyDescent="0.25">
      <c r="A443" s="2">
        <v>10442</v>
      </c>
      <c r="B443" s="8">
        <v>45856</v>
      </c>
      <c r="C443" s="2" t="s">
        <v>10</v>
      </c>
      <c r="D443" s="2" t="s">
        <v>16</v>
      </c>
      <c r="E443" s="2" t="s">
        <v>12</v>
      </c>
      <c r="F443" s="2" t="s">
        <v>13</v>
      </c>
      <c r="G443" s="2">
        <v>6</v>
      </c>
      <c r="H443" s="2">
        <v>1901.36</v>
      </c>
      <c r="I443" s="2">
        <v>20</v>
      </c>
      <c r="J443" s="2" t="s">
        <v>19</v>
      </c>
      <c r="K443">
        <f t="shared" si="6"/>
        <v>11408.16</v>
      </c>
      <c r="L443">
        <f>K443-(K443*I443/100)</f>
        <v>9126.5280000000002</v>
      </c>
    </row>
    <row r="444" spans="1:12" x14ac:dyDescent="0.25">
      <c r="A444" s="2">
        <v>10443</v>
      </c>
      <c r="B444" s="8">
        <v>45838</v>
      </c>
      <c r="C444" s="2" t="s">
        <v>48</v>
      </c>
      <c r="D444" s="2" t="s">
        <v>29</v>
      </c>
      <c r="E444" s="2" t="s">
        <v>17</v>
      </c>
      <c r="F444" s="2" t="s">
        <v>28</v>
      </c>
      <c r="G444" s="2">
        <v>1</v>
      </c>
      <c r="H444" s="2">
        <v>2693.58</v>
      </c>
      <c r="I444" s="2">
        <v>10</v>
      </c>
      <c r="J444" s="2" t="s">
        <v>23</v>
      </c>
      <c r="K444">
        <f t="shared" si="6"/>
        <v>2693.58</v>
      </c>
      <c r="L444">
        <f>K444-(K444*I444/100)</f>
        <v>2424.2219999999998</v>
      </c>
    </row>
    <row r="445" spans="1:12" x14ac:dyDescent="0.25">
      <c r="A445" s="2">
        <v>10444</v>
      </c>
      <c r="B445" s="8">
        <v>45712</v>
      </c>
      <c r="C445" s="2" t="s">
        <v>54</v>
      </c>
      <c r="D445" s="2" t="s">
        <v>25</v>
      </c>
      <c r="E445" s="2" t="s">
        <v>17</v>
      </c>
      <c r="F445" s="2" t="s">
        <v>18</v>
      </c>
      <c r="G445" s="2">
        <v>18</v>
      </c>
      <c r="H445" s="2">
        <v>1294.68</v>
      </c>
      <c r="I445" s="2">
        <v>15</v>
      </c>
      <c r="J445" s="2" t="s">
        <v>19</v>
      </c>
      <c r="K445">
        <f t="shared" si="6"/>
        <v>23304.240000000002</v>
      </c>
      <c r="L445">
        <f>K445-(K445*I445/100)</f>
        <v>19808.603999999999</v>
      </c>
    </row>
    <row r="446" spans="1:12" x14ac:dyDescent="0.25">
      <c r="A446" s="2">
        <v>10445</v>
      </c>
      <c r="B446" s="8">
        <v>45773</v>
      </c>
      <c r="C446" s="2" t="s">
        <v>54</v>
      </c>
      <c r="D446" s="2" t="s">
        <v>45</v>
      </c>
      <c r="E446" s="2" t="s">
        <v>34</v>
      </c>
      <c r="F446" s="2" t="s">
        <v>35</v>
      </c>
      <c r="G446" s="2">
        <v>2</v>
      </c>
      <c r="H446" s="2">
        <v>806.75</v>
      </c>
      <c r="I446" s="2">
        <v>0</v>
      </c>
      <c r="J446" s="2" t="s">
        <v>26</v>
      </c>
      <c r="K446">
        <f t="shared" si="6"/>
        <v>1613.5</v>
      </c>
      <c r="L446">
        <f>K446-(K446*I446/100)</f>
        <v>1613.5</v>
      </c>
    </row>
    <row r="447" spans="1:12" x14ac:dyDescent="0.25">
      <c r="A447" s="2">
        <v>10446</v>
      </c>
      <c r="B447" s="8">
        <v>45771</v>
      </c>
      <c r="C447" s="2" t="s">
        <v>39</v>
      </c>
      <c r="D447" s="2" t="s">
        <v>21</v>
      </c>
      <c r="E447" s="2" t="s">
        <v>34</v>
      </c>
      <c r="F447" s="2" t="s">
        <v>50</v>
      </c>
      <c r="G447" s="2">
        <v>10</v>
      </c>
      <c r="H447" s="2">
        <v>1898.55</v>
      </c>
      <c r="I447" s="2">
        <v>5</v>
      </c>
      <c r="J447" s="2" t="s">
        <v>19</v>
      </c>
      <c r="K447">
        <f t="shared" si="6"/>
        <v>18985.5</v>
      </c>
      <c r="L447">
        <f>K447-(K447*I447/100)</f>
        <v>18036.224999999999</v>
      </c>
    </row>
    <row r="448" spans="1:12" x14ac:dyDescent="0.25">
      <c r="A448" s="2">
        <v>10447</v>
      </c>
      <c r="B448" s="8">
        <v>45664</v>
      </c>
      <c r="C448" s="2" t="s">
        <v>54</v>
      </c>
      <c r="D448" s="2" t="s">
        <v>16</v>
      </c>
      <c r="E448" s="2" t="s">
        <v>17</v>
      </c>
      <c r="F448" s="2" t="s">
        <v>18</v>
      </c>
      <c r="G448" s="2">
        <v>18</v>
      </c>
      <c r="H448" s="2">
        <v>1898.32</v>
      </c>
      <c r="I448" s="2">
        <v>10</v>
      </c>
      <c r="J448" s="2" t="s">
        <v>26</v>
      </c>
      <c r="K448">
        <f t="shared" si="6"/>
        <v>34169.760000000002</v>
      </c>
      <c r="L448">
        <f>K448-(K448*I448/100)</f>
        <v>30752.784</v>
      </c>
    </row>
    <row r="449" spans="1:12" x14ac:dyDescent="0.25">
      <c r="A449" s="2">
        <v>10448</v>
      </c>
      <c r="B449" s="8">
        <v>45808</v>
      </c>
      <c r="C449" s="2" t="s">
        <v>39</v>
      </c>
      <c r="D449" s="2" t="s">
        <v>45</v>
      </c>
      <c r="E449" s="2" t="s">
        <v>17</v>
      </c>
      <c r="F449" s="2" t="s">
        <v>55</v>
      </c>
      <c r="G449" s="2">
        <v>4</v>
      </c>
      <c r="H449" s="2">
        <v>1467.78</v>
      </c>
      <c r="I449" s="2">
        <v>20</v>
      </c>
      <c r="J449" s="2" t="s">
        <v>23</v>
      </c>
      <c r="K449">
        <f t="shared" si="6"/>
        <v>5871.12</v>
      </c>
      <c r="L449">
        <f>K449-(K449*I449/100)</f>
        <v>4696.8959999999997</v>
      </c>
    </row>
    <row r="450" spans="1:12" x14ac:dyDescent="0.25">
      <c r="A450" s="2">
        <v>10449</v>
      </c>
      <c r="B450" s="8">
        <v>45920</v>
      </c>
      <c r="C450" s="2" t="s">
        <v>15</v>
      </c>
      <c r="D450" s="2" t="s">
        <v>37</v>
      </c>
      <c r="E450" s="2" t="s">
        <v>12</v>
      </c>
      <c r="F450" s="2" t="s">
        <v>22</v>
      </c>
      <c r="G450" s="2">
        <v>15</v>
      </c>
      <c r="H450" s="2">
        <v>4612.1000000000004</v>
      </c>
      <c r="I450" s="2">
        <v>5</v>
      </c>
      <c r="J450" s="2" t="s">
        <v>30</v>
      </c>
      <c r="K450">
        <f t="shared" si="6"/>
        <v>69181.5</v>
      </c>
      <c r="L450">
        <f>K450-(K450*I450/100)</f>
        <v>65722.425000000003</v>
      </c>
    </row>
    <row r="451" spans="1:12" x14ac:dyDescent="0.25">
      <c r="A451" s="2">
        <v>10450</v>
      </c>
      <c r="B451" s="8">
        <v>45993</v>
      </c>
      <c r="C451" s="2" t="s">
        <v>24</v>
      </c>
      <c r="D451" s="2" t="s">
        <v>37</v>
      </c>
      <c r="E451" s="2" t="s">
        <v>12</v>
      </c>
      <c r="F451" s="2" t="s">
        <v>56</v>
      </c>
      <c r="G451" s="2">
        <v>12</v>
      </c>
      <c r="H451" s="2">
        <v>3881.19</v>
      </c>
      <c r="I451" s="2">
        <v>15</v>
      </c>
      <c r="J451" s="2" t="s">
        <v>23</v>
      </c>
      <c r="K451">
        <f t="shared" ref="K451:K501" si="7">G451*H451</f>
        <v>46574.28</v>
      </c>
      <c r="L451">
        <f>K451-(K451*I451/100)</f>
        <v>39588.137999999999</v>
      </c>
    </row>
    <row r="452" spans="1:12" x14ac:dyDescent="0.25">
      <c r="A452" s="2">
        <v>10451</v>
      </c>
      <c r="B452" s="8">
        <v>45662</v>
      </c>
      <c r="C452" s="2" t="s">
        <v>10</v>
      </c>
      <c r="D452" s="2" t="s">
        <v>52</v>
      </c>
      <c r="E452" s="2" t="s">
        <v>34</v>
      </c>
      <c r="F452" s="2" t="s">
        <v>50</v>
      </c>
      <c r="G452" s="2">
        <v>1</v>
      </c>
      <c r="H452" s="2">
        <v>4369.43</v>
      </c>
      <c r="I452" s="2">
        <v>15</v>
      </c>
      <c r="J452" s="2" t="s">
        <v>14</v>
      </c>
      <c r="K452">
        <f t="shared" si="7"/>
        <v>4369.43</v>
      </c>
      <c r="L452">
        <f>K452-(K452*I452/100)</f>
        <v>3714.0155000000004</v>
      </c>
    </row>
    <row r="453" spans="1:12" x14ac:dyDescent="0.25">
      <c r="A453" s="2">
        <v>10452</v>
      </c>
      <c r="B453" s="8">
        <v>45983</v>
      </c>
      <c r="C453" s="2" t="s">
        <v>10</v>
      </c>
      <c r="D453" s="2" t="s">
        <v>45</v>
      </c>
      <c r="E453" s="2" t="s">
        <v>34</v>
      </c>
      <c r="F453" s="2" t="s">
        <v>35</v>
      </c>
      <c r="G453" s="2">
        <v>20</v>
      </c>
      <c r="H453" s="2">
        <v>3583.32</v>
      </c>
      <c r="I453" s="2">
        <v>20</v>
      </c>
      <c r="J453" s="2" t="s">
        <v>23</v>
      </c>
      <c r="K453">
        <f t="shared" si="7"/>
        <v>71666.400000000009</v>
      </c>
      <c r="L453">
        <f>K453-(K453*I453/100)</f>
        <v>57333.12000000001</v>
      </c>
    </row>
    <row r="454" spans="1:12" x14ac:dyDescent="0.25">
      <c r="A454" s="2">
        <v>10453</v>
      </c>
      <c r="B454" s="8">
        <v>45824</v>
      </c>
      <c r="C454" s="2" t="s">
        <v>27</v>
      </c>
      <c r="D454" s="2" t="s">
        <v>25</v>
      </c>
      <c r="E454" s="2" t="s">
        <v>12</v>
      </c>
      <c r="F454" s="2" t="s">
        <v>33</v>
      </c>
      <c r="G454" s="2">
        <v>15</v>
      </c>
      <c r="H454" s="2">
        <v>4795.13</v>
      </c>
      <c r="I454" s="2">
        <v>0</v>
      </c>
      <c r="J454" s="2" t="s">
        <v>26</v>
      </c>
      <c r="K454">
        <f t="shared" si="7"/>
        <v>71926.95</v>
      </c>
      <c r="L454">
        <f>K454-(K454*I454/100)</f>
        <v>71926.95</v>
      </c>
    </row>
    <row r="455" spans="1:12" x14ac:dyDescent="0.25">
      <c r="A455" s="2">
        <v>10454</v>
      </c>
      <c r="B455" s="8">
        <v>45672</v>
      </c>
      <c r="C455" s="2" t="s">
        <v>15</v>
      </c>
      <c r="D455" s="2" t="s">
        <v>29</v>
      </c>
      <c r="E455" s="2" t="s">
        <v>12</v>
      </c>
      <c r="F455" s="2" t="s">
        <v>33</v>
      </c>
      <c r="G455" s="2">
        <v>18</v>
      </c>
      <c r="H455" s="2">
        <v>4083.83</v>
      </c>
      <c r="I455" s="2">
        <v>0</v>
      </c>
      <c r="J455" s="2" t="s">
        <v>14</v>
      </c>
      <c r="K455">
        <f t="shared" si="7"/>
        <v>73508.94</v>
      </c>
      <c r="L455">
        <f>K455-(K455*I455/100)</f>
        <v>73508.94</v>
      </c>
    </row>
    <row r="456" spans="1:12" x14ac:dyDescent="0.25">
      <c r="A456" s="2">
        <v>10455</v>
      </c>
      <c r="B456" s="8">
        <v>45842</v>
      </c>
      <c r="C456" s="2" t="s">
        <v>32</v>
      </c>
      <c r="D456" s="2" t="s">
        <v>52</v>
      </c>
      <c r="E456" s="2" t="s">
        <v>12</v>
      </c>
      <c r="F456" s="2" t="s">
        <v>22</v>
      </c>
      <c r="G456" s="2">
        <v>19</v>
      </c>
      <c r="H456" s="2">
        <v>2076.7800000000002</v>
      </c>
      <c r="I456" s="2">
        <v>20</v>
      </c>
      <c r="J456" s="2" t="s">
        <v>30</v>
      </c>
      <c r="K456">
        <f t="shared" si="7"/>
        <v>39458.820000000007</v>
      </c>
      <c r="L456">
        <f>K456-(K456*I456/100)</f>
        <v>31567.056000000004</v>
      </c>
    </row>
    <row r="457" spans="1:12" x14ac:dyDescent="0.25">
      <c r="A457" s="2">
        <v>10456</v>
      </c>
      <c r="B457" s="8">
        <v>45873</v>
      </c>
      <c r="C457" s="2" t="s">
        <v>39</v>
      </c>
      <c r="D457" s="2" t="s">
        <v>52</v>
      </c>
      <c r="E457" s="2" t="s">
        <v>17</v>
      </c>
      <c r="F457" s="2" t="s">
        <v>55</v>
      </c>
      <c r="G457" s="2">
        <v>5</v>
      </c>
      <c r="H457" s="2">
        <v>4830.22</v>
      </c>
      <c r="I457" s="2">
        <v>20</v>
      </c>
      <c r="J457" s="2" t="s">
        <v>26</v>
      </c>
      <c r="K457">
        <f t="shared" si="7"/>
        <v>24151.100000000002</v>
      </c>
      <c r="L457">
        <f>K457-(K457*I457/100)</f>
        <v>19320.88</v>
      </c>
    </row>
    <row r="458" spans="1:12" x14ac:dyDescent="0.25">
      <c r="A458" s="2">
        <v>10457</v>
      </c>
      <c r="B458" s="8">
        <v>45780</v>
      </c>
      <c r="C458" s="2" t="s">
        <v>24</v>
      </c>
      <c r="D458" s="2" t="s">
        <v>52</v>
      </c>
      <c r="E458" s="2" t="s">
        <v>34</v>
      </c>
      <c r="F458" s="2" t="s">
        <v>50</v>
      </c>
      <c r="G458" s="2">
        <v>4</v>
      </c>
      <c r="H458" s="2">
        <v>3496.85</v>
      </c>
      <c r="I458" s="2">
        <v>5</v>
      </c>
      <c r="J458" s="2" t="s">
        <v>14</v>
      </c>
      <c r="K458">
        <f t="shared" si="7"/>
        <v>13987.4</v>
      </c>
      <c r="L458">
        <f>K458-(K458*I458/100)</f>
        <v>13288.029999999999</v>
      </c>
    </row>
    <row r="459" spans="1:12" x14ac:dyDescent="0.25">
      <c r="A459" s="2">
        <v>10458</v>
      </c>
      <c r="B459" s="8">
        <v>45798</v>
      </c>
      <c r="C459" s="2" t="s">
        <v>54</v>
      </c>
      <c r="D459" s="2" t="s">
        <v>52</v>
      </c>
      <c r="E459" s="2" t="s">
        <v>17</v>
      </c>
      <c r="F459" s="2" t="s">
        <v>36</v>
      </c>
      <c r="G459" s="2">
        <v>17</v>
      </c>
      <c r="H459" s="2">
        <v>3307.06</v>
      </c>
      <c r="I459" s="2">
        <v>0</v>
      </c>
      <c r="J459" s="2" t="s">
        <v>30</v>
      </c>
      <c r="K459">
        <f t="shared" si="7"/>
        <v>56220.02</v>
      </c>
      <c r="L459">
        <f>K459-(K459*I459/100)</f>
        <v>56220.02</v>
      </c>
    </row>
    <row r="460" spans="1:12" x14ac:dyDescent="0.25">
      <c r="A460" s="2">
        <v>10459</v>
      </c>
      <c r="B460" s="8">
        <v>45940</v>
      </c>
      <c r="C460" s="2" t="s">
        <v>24</v>
      </c>
      <c r="D460" s="2" t="s">
        <v>51</v>
      </c>
      <c r="E460" s="2" t="s">
        <v>34</v>
      </c>
      <c r="F460" s="2" t="s">
        <v>44</v>
      </c>
      <c r="G460" s="2">
        <v>12</v>
      </c>
      <c r="H460" s="2">
        <v>2142.9299999999998</v>
      </c>
      <c r="I460" s="2">
        <v>15</v>
      </c>
      <c r="J460" s="2" t="s">
        <v>26</v>
      </c>
      <c r="K460">
        <f t="shared" si="7"/>
        <v>25715.159999999996</v>
      </c>
      <c r="L460">
        <f>K460-(K460*I460/100)</f>
        <v>21857.885999999999</v>
      </c>
    </row>
    <row r="461" spans="1:12" x14ac:dyDescent="0.25">
      <c r="A461" s="2">
        <v>10460</v>
      </c>
      <c r="B461" s="8">
        <v>45775</v>
      </c>
      <c r="C461" s="2" t="s">
        <v>15</v>
      </c>
      <c r="D461" s="2" t="s">
        <v>47</v>
      </c>
      <c r="E461" s="2" t="s">
        <v>12</v>
      </c>
      <c r="F461" s="2" t="s">
        <v>33</v>
      </c>
      <c r="G461" s="2">
        <v>1</v>
      </c>
      <c r="H461" s="2">
        <v>1722.74</v>
      </c>
      <c r="I461" s="2">
        <v>20</v>
      </c>
      <c r="J461" s="2" t="s">
        <v>14</v>
      </c>
      <c r="K461">
        <f t="shared" si="7"/>
        <v>1722.74</v>
      </c>
      <c r="L461">
        <f>K461-(K461*I461/100)</f>
        <v>1378.192</v>
      </c>
    </row>
    <row r="462" spans="1:12" x14ac:dyDescent="0.25">
      <c r="A462" s="2">
        <v>10461</v>
      </c>
      <c r="B462" s="8">
        <v>45932</v>
      </c>
      <c r="C462" s="2" t="s">
        <v>15</v>
      </c>
      <c r="D462" s="2" t="s">
        <v>37</v>
      </c>
      <c r="E462" s="2" t="s">
        <v>12</v>
      </c>
      <c r="F462" s="2" t="s">
        <v>56</v>
      </c>
      <c r="G462" s="2">
        <v>12</v>
      </c>
      <c r="H462" s="2">
        <v>4846.67</v>
      </c>
      <c r="I462" s="2">
        <v>10</v>
      </c>
      <c r="J462" s="2" t="s">
        <v>26</v>
      </c>
      <c r="K462">
        <f t="shared" si="7"/>
        <v>58160.04</v>
      </c>
      <c r="L462">
        <f>K462-(K462*I462/100)</f>
        <v>52344.036</v>
      </c>
    </row>
    <row r="463" spans="1:12" x14ac:dyDescent="0.25">
      <c r="A463" s="2">
        <v>10462</v>
      </c>
      <c r="B463" s="8">
        <v>45867</v>
      </c>
      <c r="C463" s="2" t="s">
        <v>20</v>
      </c>
      <c r="D463" s="2" t="s">
        <v>51</v>
      </c>
      <c r="E463" s="2" t="s">
        <v>40</v>
      </c>
      <c r="F463" s="2" t="s">
        <v>46</v>
      </c>
      <c r="G463" s="2">
        <v>5</v>
      </c>
      <c r="H463" s="2">
        <v>2206.3200000000002</v>
      </c>
      <c r="I463" s="2">
        <v>0</v>
      </c>
      <c r="J463" s="2" t="s">
        <v>30</v>
      </c>
      <c r="K463">
        <f t="shared" si="7"/>
        <v>11031.6</v>
      </c>
      <c r="L463">
        <f>K463-(K463*I463/100)</f>
        <v>11031.6</v>
      </c>
    </row>
    <row r="464" spans="1:12" x14ac:dyDescent="0.25">
      <c r="A464" s="2">
        <v>10463</v>
      </c>
      <c r="B464" s="8">
        <v>45841</v>
      </c>
      <c r="C464" s="2" t="s">
        <v>10</v>
      </c>
      <c r="D464" s="2" t="s">
        <v>45</v>
      </c>
      <c r="E464" s="2" t="s">
        <v>34</v>
      </c>
      <c r="F464" s="2" t="s">
        <v>44</v>
      </c>
      <c r="G464" s="2">
        <v>13</v>
      </c>
      <c r="H464" s="2">
        <v>77.36</v>
      </c>
      <c r="I464" s="2">
        <v>10</v>
      </c>
      <c r="J464" s="2" t="s">
        <v>30</v>
      </c>
      <c r="K464">
        <f t="shared" si="7"/>
        <v>1005.68</v>
      </c>
      <c r="L464">
        <f>K464-(K464*I464/100)</f>
        <v>905.11199999999997</v>
      </c>
    </row>
    <row r="465" spans="1:12" x14ac:dyDescent="0.25">
      <c r="A465" s="2">
        <v>10464</v>
      </c>
      <c r="B465" s="8">
        <v>45866</v>
      </c>
      <c r="C465" s="2" t="s">
        <v>39</v>
      </c>
      <c r="D465" s="2" t="s">
        <v>52</v>
      </c>
      <c r="E465" s="2" t="s">
        <v>34</v>
      </c>
      <c r="F465" s="2" t="s">
        <v>44</v>
      </c>
      <c r="G465" s="2">
        <v>16</v>
      </c>
      <c r="H465" s="2">
        <v>325.32</v>
      </c>
      <c r="I465" s="2">
        <v>10</v>
      </c>
      <c r="J465" s="2" t="s">
        <v>30</v>
      </c>
      <c r="K465">
        <f t="shared" si="7"/>
        <v>5205.12</v>
      </c>
      <c r="L465">
        <f>K465-(K465*I465/100)</f>
        <v>4684.6080000000002</v>
      </c>
    </row>
    <row r="466" spans="1:12" x14ac:dyDescent="0.25">
      <c r="A466" s="2">
        <v>10465</v>
      </c>
      <c r="B466" s="8">
        <v>45841</v>
      </c>
      <c r="C466" s="2" t="s">
        <v>32</v>
      </c>
      <c r="D466" s="2" t="s">
        <v>51</v>
      </c>
      <c r="E466" s="2" t="s">
        <v>40</v>
      </c>
      <c r="F466" s="2" t="s">
        <v>41</v>
      </c>
      <c r="G466" s="2">
        <v>5</v>
      </c>
      <c r="H466" s="2">
        <v>3779.31</v>
      </c>
      <c r="I466" s="2">
        <v>20</v>
      </c>
      <c r="J466" s="2" t="s">
        <v>23</v>
      </c>
      <c r="K466">
        <f t="shared" si="7"/>
        <v>18896.55</v>
      </c>
      <c r="L466">
        <f>K466-(K466*I466/100)</f>
        <v>15117.24</v>
      </c>
    </row>
    <row r="467" spans="1:12" x14ac:dyDescent="0.25">
      <c r="A467" s="2">
        <v>10466</v>
      </c>
      <c r="B467" s="8">
        <v>45796</v>
      </c>
      <c r="C467" s="2" t="s">
        <v>24</v>
      </c>
      <c r="D467" s="2" t="s">
        <v>47</v>
      </c>
      <c r="E467" s="2" t="s">
        <v>17</v>
      </c>
      <c r="F467" s="2" t="s">
        <v>28</v>
      </c>
      <c r="G467" s="2">
        <v>6</v>
      </c>
      <c r="H467" s="2">
        <v>1546.44</v>
      </c>
      <c r="I467" s="2">
        <v>20</v>
      </c>
      <c r="J467" s="2" t="s">
        <v>14</v>
      </c>
      <c r="K467">
        <f t="shared" si="7"/>
        <v>9278.64</v>
      </c>
      <c r="L467">
        <f>K467-(K467*I467/100)</f>
        <v>7422.9119999999994</v>
      </c>
    </row>
    <row r="468" spans="1:12" x14ac:dyDescent="0.25">
      <c r="A468" s="2">
        <v>10467</v>
      </c>
      <c r="B468" s="8">
        <v>45858</v>
      </c>
      <c r="C468" s="2" t="s">
        <v>48</v>
      </c>
      <c r="D468" s="2" t="s">
        <v>25</v>
      </c>
      <c r="E468" s="2" t="s">
        <v>17</v>
      </c>
      <c r="F468" s="2" t="s">
        <v>18</v>
      </c>
      <c r="G468" s="2">
        <v>8</v>
      </c>
      <c r="H468" s="2">
        <v>3968.93</v>
      </c>
      <c r="I468" s="2">
        <v>10</v>
      </c>
      <c r="J468" s="2" t="s">
        <v>23</v>
      </c>
      <c r="K468">
        <f t="shared" si="7"/>
        <v>31751.439999999999</v>
      </c>
      <c r="L468">
        <f>K468-(K468*I468/100)</f>
        <v>28576.295999999998</v>
      </c>
    </row>
    <row r="469" spans="1:12" x14ac:dyDescent="0.25">
      <c r="A469" s="2">
        <v>10468</v>
      </c>
      <c r="B469" s="8">
        <v>45845</v>
      </c>
      <c r="C469" s="2" t="s">
        <v>39</v>
      </c>
      <c r="D469" s="2" t="s">
        <v>11</v>
      </c>
      <c r="E469" s="2" t="s">
        <v>12</v>
      </c>
      <c r="F469" s="2" t="s">
        <v>13</v>
      </c>
      <c r="G469" s="2">
        <v>8</v>
      </c>
      <c r="H469" s="2">
        <v>2224.2399999999998</v>
      </c>
      <c r="I469" s="2">
        <v>15</v>
      </c>
      <c r="J469" s="2" t="s">
        <v>19</v>
      </c>
      <c r="K469">
        <f t="shared" si="7"/>
        <v>17793.919999999998</v>
      </c>
      <c r="L469">
        <f>K469-(K469*I469/100)</f>
        <v>15124.831999999999</v>
      </c>
    </row>
    <row r="470" spans="1:12" x14ac:dyDescent="0.25">
      <c r="A470" s="2">
        <v>10469</v>
      </c>
      <c r="B470" s="8">
        <v>45878</v>
      </c>
      <c r="C470" s="2" t="s">
        <v>48</v>
      </c>
      <c r="D470" s="2" t="s">
        <v>21</v>
      </c>
      <c r="E470" s="2" t="s">
        <v>12</v>
      </c>
      <c r="F470" s="2" t="s">
        <v>33</v>
      </c>
      <c r="G470" s="2">
        <v>20</v>
      </c>
      <c r="H470" s="2">
        <v>880.96</v>
      </c>
      <c r="I470" s="2">
        <v>15</v>
      </c>
      <c r="J470" s="2" t="s">
        <v>30</v>
      </c>
      <c r="K470">
        <f t="shared" si="7"/>
        <v>17619.2</v>
      </c>
      <c r="L470">
        <f>K470-(K470*I470/100)</f>
        <v>14976.32</v>
      </c>
    </row>
    <row r="471" spans="1:12" x14ac:dyDescent="0.25">
      <c r="A471" s="2">
        <v>10470</v>
      </c>
      <c r="B471" s="8">
        <v>45786</v>
      </c>
      <c r="C471" s="2" t="s">
        <v>24</v>
      </c>
      <c r="D471" s="2" t="s">
        <v>21</v>
      </c>
      <c r="E471" s="2" t="s">
        <v>34</v>
      </c>
      <c r="F471" s="2" t="s">
        <v>50</v>
      </c>
      <c r="G471" s="2">
        <v>6</v>
      </c>
      <c r="H471" s="2">
        <v>154.31</v>
      </c>
      <c r="I471" s="2">
        <v>10</v>
      </c>
      <c r="J471" s="2" t="s">
        <v>26</v>
      </c>
      <c r="K471">
        <f t="shared" si="7"/>
        <v>925.86</v>
      </c>
      <c r="L471">
        <f>K471-(K471*I471/100)</f>
        <v>833.274</v>
      </c>
    </row>
    <row r="472" spans="1:12" x14ac:dyDescent="0.25">
      <c r="A472" s="2">
        <v>10471</v>
      </c>
      <c r="B472" s="8">
        <v>45899</v>
      </c>
      <c r="C472" s="2" t="s">
        <v>15</v>
      </c>
      <c r="D472" s="2" t="s">
        <v>37</v>
      </c>
      <c r="E472" s="2" t="s">
        <v>17</v>
      </c>
      <c r="F472" s="2" t="s">
        <v>28</v>
      </c>
      <c r="G472" s="2">
        <v>8</v>
      </c>
      <c r="H472" s="2">
        <v>1505.08</v>
      </c>
      <c r="I472" s="2">
        <v>0</v>
      </c>
      <c r="J472" s="2" t="s">
        <v>14</v>
      </c>
      <c r="K472">
        <f t="shared" si="7"/>
        <v>12040.64</v>
      </c>
      <c r="L472">
        <f>K472-(K472*I472/100)</f>
        <v>12040.64</v>
      </c>
    </row>
    <row r="473" spans="1:12" x14ac:dyDescent="0.25">
      <c r="A473" s="2">
        <v>10472</v>
      </c>
      <c r="B473" s="8">
        <v>45929</v>
      </c>
      <c r="C473" s="2" t="s">
        <v>15</v>
      </c>
      <c r="D473" s="2" t="s">
        <v>52</v>
      </c>
      <c r="E473" s="2" t="s">
        <v>34</v>
      </c>
      <c r="F473" s="2" t="s">
        <v>44</v>
      </c>
      <c r="G473" s="2">
        <v>3</v>
      </c>
      <c r="H473" s="2">
        <v>2055.4499999999998</v>
      </c>
      <c r="I473" s="2">
        <v>10</v>
      </c>
      <c r="J473" s="2" t="s">
        <v>23</v>
      </c>
      <c r="K473">
        <f t="shared" si="7"/>
        <v>6166.3499999999995</v>
      </c>
      <c r="L473">
        <f>K473-(K473*I473/100)</f>
        <v>5549.7149999999992</v>
      </c>
    </row>
    <row r="474" spans="1:12" x14ac:dyDescent="0.25">
      <c r="A474" s="2">
        <v>10473</v>
      </c>
      <c r="B474" s="8">
        <v>45967</v>
      </c>
      <c r="C474" s="2" t="s">
        <v>24</v>
      </c>
      <c r="D474" s="2" t="s">
        <v>45</v>
      </c>
      <c r="E474" s="2" t="s">
        <v>17</v>
      </c>
      <c r="F474" s="2" t="s">
        <v>18</v>
      </c>
      <c r="G474" s="2">
        <v>19</v>
      </c>
      <c r="H474" s="2">
        <v>3909.86</v>
      </c>
      <c r="I474" s="2">
        <v>15</v>
      </c>
      <c r="J474" s="2" t="s">
        <v>14</v>
      </c>
      <c r="K474">
        <f t="shared" si="7"/>
        <v>74287.34</v>
      </c>
      <c r="L474">
        <f>K474-(K474*I474/100)</f>
        <v>63144.239000000001</v>
      </c>
    </row>
    <row r="475" spans="1:12" x14ac:dyDescent="0.25">
      <c r="A475" s="2">
        <v>10474</v>
      </c>
      <c r="B475" s="8">
        <v>45659</v>
      </c>
      <c r="C475" s="2" t="s">
        <v>42</v>
      </c>
      <c r="D475" s="2" t="s">
        <v>37</v>
      </c>
      <c r="E475" s="2" t="s">
        <v>17</v>
      </c>
      <c r="F475" s="2" t="s">
        <v>36</v>
      </c>
      <c r="G475" s="2">
        <v>17</v>
      </c>
      <c r="H475" s="2">
        <v>1519.29</v>
      </c>
      <c r="I475" s="2">
        <v>0</v>
      </c>
      <c r="J475" s="2" t="s">
        <v>14</v>
      </c>
      <c r="K475">
        <f t="shared" si="7"/>
        <v>25827.93</v>
      </c>
      <c r="L475">
        <f>K475-(K475*I475/100)</f>
        <v>25827.93</v>
      </c>
    </row>
    <row r="476" spans="1:12" x14ac:dyDescent="0.25">
      <c r="A476" s="2">
        <v>10475</v>
      </c>
      <c r="B476" s="8">
        <v>45996</v>
      </c>
      <c r="C476" s="2" t="s">
        <v>31</v>
      </c>
      <c r="D476" s="2" t="s">
        <v>37</v>
      </c>
      <c r="E476" s="2" t="s">
        <v>40</v>
      </c>
      <c r="F476" s="2" t="s">
        <v>53</v>
      </c>
      <c r="G476" s="2">
        <v>5</v>
      </c>
      <c r="H476" s="2">
        <v>565.51</v>
      </c>
      <c r="I476" s="2">
        <v>5</v>
      </c>
      <c r="J476" s="2" t="s">
        <v>23</v>
      </c>
      <c r="K476">
        <f t="shared" si="7"/>
        <v>2827.55</v>
      </c>
      <c r="L476">
        <f>K476-(K476*I476/100)</f>
        <v>2686.1725000000001</v>
      </c>
    </row>
    <row r="477" spans="1:12" x14ac:dyDescent="0.25">
      <c r="A477" s="2">
        <v>10476</v>
      </c>
      <c r="B477" s="8">
        <v>46005</v>
      </c>
      <c r="C477" s="2" t="s">
        <v>31</v>
      </c>
      <c r="D477" s="2" t="s">
        <v>51</v>
      </c>
      <c r="E477" s="2" t="s">
        <v>40</v>
      </c>
      <c r="F477" s="2" t="s">
        <v>41</v>
      </c>
      <c r="G477" s="2">
        <v>7</v>
      </c>
      <c r="H477" s="2">
        <v>4443.84</v>
      </c>
      <c r="I477" s="2">
        <v>0</v>
      </c>
      <c r="J477" s="2" t="s">
        <v>30</v>
      </c>
      <c r="K477">
        <f t="shared" si="7"/>
        <v>31106.880000000001</v>
      </c>
      <c r="L477">
        <f>K477-(K477*I477/100)</f>
        <v>31106.880000000001</v>
      </c>
    </row>
    <row r="478" spans="1:12" x14ac:dyDescent="0.25">
      <c r="A478" s="2">
        <v>10477</v>
      </c>
      <c r="B478" s="8">
        <v>45731</v>
      </c>
      <c r="C478" s="2" t="s">
        <v>24</v>
      </c>
      <c r="D478" s="2" t="s">
        <v>47</v>
      </c>
      <c r="E478" s="2" t="s">
        <v>40</v>
      </c>
      <c r="F478" s="2" t="s">
        <v>49</v>
      </c>
      <c r="G478" s="2">
        <v>9</v>
      </c>
      <c r="H478" s="2">
        <v>3308.58</v>
      </c>
      <c r="I478" s="2">
        <v>15</v>
      </c>
      <c r="J478" s="2" t="s">
        <v>26</v>
      </c>
      <c r="K478">
        <f t="shared" si="7"/>
        <v>29777.22</v>
      </c>
      <c r="L478">
        <f>K478-(K478*I478/100)</f>
        <v>25310.637000000002</v>
      </c>
    </row>
    <row r="479" spans="1:12" x14ac:dyDescent="0.25">
      <c r="A479" s="2">
        <v>10478</v>
      </c>
      <c r="B479" s="8">
        <v>45664</v>
      </c>
      <c r="C479" s="2" t="s">
        <v>27</v>
      </c>
      <c r="D479" s="2" t="s">
        <v>52</v>
      </c>
      <c r="E479" s="2" t="s">
        <v>12</v>
      </c>
      <c r="F479" s="2" t="s">
        <v>13</v>
      </c>
      <c r="G479" s="2">
        <v>10</v>
      </c>
      <c r="H479" s="2">
        <v>4146.09</v>
      </c>
      <c r="I479" s="2">
        <v>5</v>
      </c>
      <c r="J479" s="2" t="s">
        <v>23</v>
      </c>
      <c r="K479">
        <f t="shared" si="7"/>
        <v>41460.9</v>
      </c>
      <c r="L479">
        <f>K479-(K479*I479/100)</f>
        <v>39387.855000000003</v>
      </c>
    </row>
    <row r="480" spans="1:12" x14ac:dyDescent="0.25">
      <c r="A480" s="2">
        <v>10479</v>
      </c>
      <c r="B480" s="8">
        <v>45700</v>
      </c>
      <c r="C480" s="2" t="s">
        <v>20</v>
      </c>
      <c r="D480" s="2" t="s">
        <v>45</v>
      </c>
      <c r="E480" s="2" t="s">
        <v>17</v>
      </c>
      <c r="F480" s="2" t="s">
        <v>28</v>
      </c>
      <c r="G480" s="2">
        <v>15</v>
      </c>
      <c r="H480" s="2">
        <v>3917.53</v>
      </c>
      <c r="I480" s="2">
        <v>15</v>
      </c>
      <c r="J480" s="2" t="s">
        <v>23</v>
      </c>
      <c r="K480">
        <f t="shared" si="7"/>
        <v>58762.950000000004</v>
      </c>
      <c r="L480">
        <f>K480-(K480*I480/100)</f>
        <v>49948.507500000007</v>
      </c>
    </row>
    <row r="481" spans="1:12" x14ac:dyDescent="0.25">
      <c r="A481" s="2">
        <v>10480</v>
      </c>
      <c r="B481" s="8">
        <v>45717</v>
      </c>
      <c r="C481" s="2" t="s">
        <v>32</v>
      </c>
      <c r="D481" s="2" t="s">
        <v>21</v>
      </c>
      <c r="E481" s="2" t="s">
        <v>17</v>
      </c>
      <c r="F481" s="2" t="s">
        <v>55</v>
      </c>
      <c r="G481" s="2">
        <v>2</v>
      </c>
      <c r="H481" s="2">
        <v>3570.62</v>
      </c>
      <c r="I481" s="2">
        <v>5</v>
      </c>
      <c r="J481" s="2" t="s">
        <v>26</v>
      </c>
      <c r="K481">
        <f t="shared" si="7"/>
        <v>7141.24</v>
      </c>
      <c r="L481">
        <f>K481-(K481*I481/100)</f>
        <v>6784.1779999999999</v>
      </c>
    </row>
    <row r="482" spans="1:12" x14ac:dyDescent="0.25">
      <c r="A482" s="2">
        <v>10481</v>
      </c>
      <c r="B482" s="8">
        <v>45951</v>
      </c>
      <c r="C482" s="2" t="s">
        <v>32</v>
      </c>
      <c r="D482" s="2" t="s">
        <v>21</v>
      </c>
      <c r="E482" s="2" t="s">
        <v>17</v>
      </c>
      <c r="F482" s="2" t="s">
        <v>28</v>
      </c>
      <c r="G482" s="2">
        <v>7</v>
      </c>
      <c r="H482" s="2">
        <v>3021.64</v>
      </c>
      <c r="I482" s="2">
        <v>15</v>
      </c>
      <c r="J482" s="2" t="s">
        <v>30</v>
      </c>
      <c r="K482">
        <f t="shared" si="7"/>
        <v>21151.48</v>
      </c>
      <c r="L482">
        <f>K482-(K482*I482/100)</f>
        <v>17978.757999999998</v>
      </c>
    </row>
    <row r="483" spans="1:12" x14ac:dyDescent="0.25">
      <c r="A483" s="2">
        <v>10482</v>
      </c>
      <c r="B483" s="8">
        <v>45906</v>
      </c>
      <c r="C483" s="2" t="s">
        <v>31</v>
      </c>
      <c r="D483" s="2" t="s">
        <v>47</v>
      </c>
      <c r="E483" s="2" t="s">
        <v>12</v>
      </c>
      <c r="F483" s="2" t="s">
        <v>33</v>
      </c>
      <c r="G483" s="2">
        <v>15</v>
      </c>
      <c r="H483" s="2">
        <v>3536.32</v>
      </c>
      <c r="I483" s="2">
        <v>5</v>
      </c>
      <c r="J483" s="2" t="s">
        <v>14</v>
      </c>
      <c r="K483">
        <f t="shared" si="7"/>
        <v>53044.800000000003</v>
      </c>
      <c r="L483">
        <f>K483-(K483*I483/100)</f>
        <v>50392.560000000005</v>
      </c>
    </row>
    <row r="484" spans="1:12" x14ac:dyDescent="0.25">
      <c r="A484" s="2">
        <v>10483</v>
      </c>
      <c r="B484" s="8">
        <v>45743</v>
      </c>
      <c r="C484" s="2" t="s">
        <v>27</v>
      </c>
      <c r="D484" s="2" t="s">
        <v>37</v>
      </c>
      <c r="E484" s="2" t="s">
        <v>12</v>
      </c>
      <c r="F484" s="2" t="s">
        <v>22</v>
      </c>
      <c r="G484" s="2">
        <v>14</v>
      </c>
      <c r="H484" s="2">
        <v>465.25</v>
      </c>
      <c r="I484" s="2">
        <v>15</v>
      </c>
      <c r="J484" s="2" t="s">
        <v>19</v>
      </c>
      <c r="K484">
        <f t="shared" si="7"/>
        <v>6513.5</v>
      </c>
      <c r="L484">
        <f>K484-(K484*I484/100)</f>
        <v>5536.4750000000004</v>
      </c>
    </row>
    <row r="485" spans="1:12" x14ac:dyDescent="0.25">
      <c r="A485" s="2">
        <v>10484</v>
      </c>
      <c r="B485" s="8">
        <v>45877</v>
      </c>
      <c r="C485" s="2" t="s">
        <v>15</v>
      </c>
      <c r="D485" s="2" t="s">
        <v>47</v>
      </c>
      <c r="E485" s="2" t="s">
        <v>12</v>
      </c>
      <c r="F485" s="2" t="s">
        <v>13</v>
      </c>
      <c r="G485" s="2">
        <v>6</v>
      </c>
      <c r="H485" s="2">
        <v>2790.56</v>
      </c>
      <c r="I485" s="2">
        <v>20</v>
      </c>
      <c r="J485" s="2" t="s">
        <v>23</v>
      </c>
      <c r="K485">
        <f t="shared" si="7"/>
        <v>16743.36</v>
      </c>
      <c r="L485">
        <f>K485-(K485*I485/100)</f>
        <v>13394.688</v>
      </c>
    </row>
    <row r="486" spans="1:12" x14ac:dyDescent="0.25">
      <c r="A486" s="2">
        <v>10485</v>
      </c>
      <c r="B486" s="8">
        <v>45944</v>
      </c>
      <c r="C486" s="2" t="s">
        <v>20</v>
      </c>
      <c r="D486" s="2" t="s">
        <v>45</v>
      </c>
      <c r="E486" s="2" t="s">
        <v>12</v>
      </c>
      <c r="F486" s="2" t="s">
        <v>22</v>
      </c>
      <c r="G486" s="2">
        <v>2</v>
      </c>
      <c r="H486" s="2">
        <v>3138.96</v>
      </c>
      <c r="I486" s="2">
        <v>0</v>
      </c>
      <c r="J486" s="2" t="s">
        <v>30</v>
      </c>
      <c r="K486">
        <f t="shared" si="7"/>
        <v>6277.92</v>
      </c>
      <c r="L486">
        <f>K486-(K486*I486/100)</f>
        <v>6277.92</v>
      </c>
    </row>
    <row r="487" spans="1:12" x14ac:dyDescent="0.25">
      <c r="A487" s="2">
        <v>10486</v>
      </c>
      <c r="B487" s="8">
        <v>45790</v>
      </c>
      <c r="C487" s="2" t="s">
        <v>31</v>
      </c>
      <c r="D487" s="2" t="s">
        <v>51</v>
      </c>
      <c r="E487" s="2" t="s">
        <v>40</v>
      </c>
      <c r="F487" s="2" t="s">
        <v>49</v>
      </c>
      <c r="G487" s="2">
        <v>18</v>
      </c>
      <c r="H487" s="2">
        <v>1364.35</v>
      </c>
      <c r="I487" s="2">
        <v>5</v>
      </c>
      <c r="J487" s="2" t="s">
        <v>26</v>
      </c>
      <c r="K487">
        <f t="shared" si="7"/>
        <v>24558.3</v>
      </c>
      <c r="L487">
        <f>K487-(K487*I487/100)</f>
        <v>23330.384999999998</v>
      </c>
    </row>
    <row r="488" spans="1:12" x14ac:dyDescent="0.25">
      <c r="A488" s="2">
        <v>10487</v>
      </c>
      <c r="B488" s="8">
        <v>45909</v>
      </c>
      <c r="C488" s="2" t="s">
        <v>48</v>
      </c>
      <c r="D488" s="2" t="s">
        <v>51</v>
      </c>
      <c r="E488" s="2" t="s">
        <v>34</v>
      </c>
      <c r="F488" s="2" t="s">
        <v>38</v>
      </c>
      <c r="G488" s="2">
        <v>3</v>
      </c>
      <c r="H488" s="2">
        <v>1388.14</v>
      </c>
      <c r="I488" s="2">
        <v>5</v>
      </c>
      <c r="J488" s="2" t="s">
        <v>26</v>
      </c>
      <c r="K488">
        <f t="shared" si="7"/>
        <v>4164.42</v>
      </c>
      <c r="L488">
        <f>K488-(K488*I488/100)</f>
        <v>3956.1990000000001</v>
      </c>
    </row>
    <row r="489" spans="1:12" x14ac:dyDescent="0.25">
      <c r="A489" s="2">
        <v>10488</v>
      </c>
      <c r="B489" s="8">
        <v>46010</v>
      </c>
      <c r="C489" s="2" t="s">
        <v>54</v>
      </c>
      <c r="D489" s="2" t="s">
        <v>51</v>
      </c>
      <c r="E489" s="2" t="s">
        <v>40</v>
      </c>
      <c r="F489" s="2" t="s">
        <v>53</v>
      </c>
      <c r="G489" s="2">
        <v>7</v>
      </c>
      <c r="H489" s="2">
        <v>4834.97</v>
      </c>
      <c r="I489" s="2">
        <v>0</v>
      </c>
      <c r="J489" s="2" t="s">
        <v>23</v>
      </c>
      <c r="K489">
        <f t="shared" si="7"/>
        <v>33844.79</v>
      </c>
      <c r="L489">
        <f>K489-(K489*I489/100)</f>
        <v>33844.79</v>
      </c>
    </row>
    <row r="490" spans="1:12" x14ac:dyDescent="0.25">
      <c r="A490" s="2">
        <v>10489</v>
      </c>
      <c r="B490" s="8">
        <v>46005</v>
      </c>
      <c r="C490" s="2" t="s">
        <v>24</v>
      </c>
      <c r="D490" s="2" t="s">
        <v>21</v>
      </c>
      <c r="E490" s="2" t="s">
        <v>40</v>
      </c>
      <c r="F490" s="2" t="s">
        <v>41</v>
      </c>
      <c r="G490" s="2">
        <v>11</v>
      </c>
      <c r="H490" s="2">
        <v>1507.25</v>
      </c>
      <c r="I490" s="2">
        <v>5</v>
      </c>
      <c r="J490" s="2" t="s">
        <v>26</v>
      </c>
      <c r="K490">
        <f t="shared" si="7"/>
        <v>16579.75</v>
      </c>
      <c r="L490">
        <f>K490-(K490*I490/100)</f>
        <v>15750.762500000001</v>
      </c>
    </row>
    <row r="491" spans="1:12" x14ac:dyDescent="0.25">
      <c r="A491" s="2">
        <v>10490</v>
      </c>
      <c r="B491" s="8">
        <v>45747</v>
      </c>
      <c r="C491" s="2" t="s">
        <v>39</v>
      </c>
      <c r="D491" s="2" t="s">
        <v>21</v>
      </c>
      <c r="E491" s="2" t="s">
        <v>17</v>
      </c>
      <c r="F491" s="2" t="s">
        <v>28</v>
      </c>
      <c r="G491" s="2">
        <v>7</v>
      </c>
      <c r="H491" s="2">
        <v>3106.84</v>
      </c>
      <c r="I491" s="2">
        <v>15</v>
      </c>
      <c r="J491" s="2" t="s">
        <v>23</v>
      </c>
      <c r="K491">
        <f t="shared" si="7"/>
        <v>21747.88</v>
      </c>
      <c r="L491">
        <f>K491-(K491*I491/100)</f>
        <v>18485.698</v>
      </c>
    </row>
    <row r="492" spans="1:12" x14ac:dyDescent="0.25">
      <c r="A492" s="2">
        <v>10491</v>
      </c>
      <c r="B492" s="8">
        <v>45804</v>
      </c>
      <c r="C492" s="2" t="s">
        <v>48</v>
      </c>
      <c r="D492" s="2" t="s">
        <v>11</v>
      </c>
      <c r="E492" s="2" t="s">
        <v>34</v>
      </c>
      <c r="F492" s="2" t="s">
        <v>44</v>
      </c>
      <c r="G492" s="2">
        <v>5</v>
      </c>
      <c r="H492" s="2">
        <v>4412.41</v>
      </c>
      <c r="I492" s="2">
        <v>10</v>
      </c>
      <c r="J492" s="2" t="s">
        <v>14</v>
      </c>
      <c r="K492">
        <f t="shared" si="7"/>
        <v>22062.05</v>
      </c>
      <c r="L492">
        <f>K492-(K492*I492/100)</f>
        <v>19855.845000000001</v>
      </c>
    </row>
    <row r="493" spans="1:12" x14ac:dyDescent="0.25">
      <c r="A493" s="2">
        <v>10492</v>
      </c>
      <c r="B493" s="8">
        <v>45913</v>
      </c>
      <c r="C493" s="2" t="s">
        <v>10</v>
      </c>
      <c r="D493" s="2" t="s">
        <v>47</v>
      </c>
      <c r="E493" s="2" t="s">
        <v>40</v>
      </c>
      <c r="F493" s="2" t="s">
        <v>41</v>
      </c>
      <c r="G493" s="2">
        <v>1</v>
      </c>
      <c r="H493" s="2">
        <v>953.08</v>
      </c>
      <c r="I493" s="2">
        <v>5</v>
      </c>
      <c r="J493" s="2" t="s">
        <v>19</v>
      </c>
      <c r="K493">
        <f t="shared" si="7"/>
        <v>953.08</v>
      </c>
      <c r="L493">
        <f>K493-(K493*I493/100)</f>
        <v>905.42600000000004</v>
      </c>
    </row>
    <row r="494" spans="1:12" x14ac:dyDescent="0.25">
      <c r="A494" s="2">
        <v>10493</v>
      </c>
      <c r="B494" s="8">
        <v>45693</v>
      </c>
      <c r="C494" s="2" t="s">
        <v>31</v>
      </c>
      <c r="D494" s="2" t="s">
        <v>45</v>
      </c>
      <c r="E494" s="2" t="s">
        <v>34</v>
      </c>
      <c r="F494" s="2" t="s">
        <v>44</v>
      </c>
      <c r="G494" s="2">
        <v>4</v>
      </c>
      <c r="H494" s="2">
        <v>859.44</v>
      </c>
      <c r="I494" s="2">
        <v>15</v>
      </c>
      <c r="J494" s="2" t="s">
        <v>19</v>
      </c>
      <c r="K494">
        <f t="shared" si="7"/>
        <v>3437.76</v>
      </c>
      <c r="L494">
        <f>K494-(K494*I494/100)</f>
        <v>2922.0960000000005</v>
      </c>
    </row>
    <row r="495" spans="1:12" x14ac:dyDescent="0.25">
      <c r="A495" s="2">
        <v>10494</v>
      </c>
      <c r="B495" s="8">
        <v>45876</v>
      </c>
      <c r="C495" s="2" t="s">
        <v>43</v>
      </c>
      <c r="D495" s="2" t="s">
        <v>16</v>
      </c>
      <c r="E495" s="2" t="s">
        <v>34</v>
      </c>
      <c r="F495" s="2" t="s">
        <v>44</v>
      </c>
      <c r="G495" s="2">
        <v>15</v>
      </c>
      <c r="H495" s="2">
        <v>4903.68</v>
      </c>
      <c r="I495" s="2">
        <v>15</v>
      </c>
      <c r="J495" s="2" t="s">
        <v>23</v>
      </c>
      <c r="K495">
        <f t="shared" si="7"/>
        <v>73555.200000000012</v>
      </c>
      <c r="L495">
        <f>K495-(K495*I495/100)</f>
        <v>62521.920000000013</v>
      </c>
    </row>
    <row r="496" spans="1:12" x14ac:dyDescent="0.25">
      <c r="A496" s="2">
        <v>10495</v>
      </c>
      <c r="B496" s="8">
        <v>45761</v>
      </c>
      <c r="C496" s="2" t="s">
        <v>39</v>
      </c>
      <c r="D496" s="2" t="s">
        <v>51</v>
      </c>
      <c r="E496" s="2" t="s">
        <v>34</v>
      </c>
      <c r="F496" s="2" t="s">
        <v>38</v>
      </c>
      <c r="G496" s="2">
        <v>2</v>
      </c>
      <c r="H496" s="2">
        <v>270.23</v>
      </c>
      <c r="I496" s="2">
        <v>5</v>
      </c>
      <c r="J496" s="2" t="s">
        <v>19</v>
      </c>
      <c r="K496">
        <f t="shared" si="7"/>
        <v>540.46</v>
      </c>
      <c r="L496">
        <f>K496-(K496*I496/100)</f>
        <v>513.43700000000001</v>
      </c>
    </row>
    <row r="497" spans="1:12" x14ac:dyDescent="0.25">
      <c r="A497" s="2">
        <v>10496</v>
      </c>
      <c r="B497" s="8">
        <v>45892</v>
      </c>
      <c r="C497" s="2" t="s">
        <v>31</v>
      </c>
      <c r="D497" s="2" t="s">
        <v>11</v>
      </c>
      <c r="E497" s="2" t="s">
        <v>34</v>
      </c>
      <c r="F497" s="2" t="s">
        <v>38</v>
      </c>
      <c r="G497" s="2">
        <v>9</v>
      </c>
      <c r="H497" s="2">
        <v>1500.28</v>
      </c>
      <c r="I497" s="2">
        <v>15</v>
      </c>
      <c r="J497" s="2" t="s">
        <v>30</v>
      </c>
      <c r="K497">
        <f t="shared" si="7"/>
        <v>13502.52</v>
      </c>
      <c r="L497">
        <f>K497-(K497*I497/100)</f>
        <v>11477.142</v>
      </c>
    </row>
    <row r="498" spans="1:12" x14ac:dyDescent="0.25">
      <c r="A498" s="2">
        <v>10497</v>
      </c>
      <c r="B498" s="8">
        <v>45940</v>
      </c>
      <c r="C498" s="2" t="s">
        <v>43</v>
      </c>
      <c r="D498" s="2" t="s">
        <v>25</v>
      </c>
      <c r="E498" s="2" t="s">
        <v>17</v>
      </c>
      <c r="F498" s="2" t="s">
        <v>55</v>
      </c>
      <c r="G498" s="2">
        <v>6</v>
      </c>
      <c r="H498" s="2">
        <v>4798.87</v>
      </c>
      <c r="I498" s="2">
        <v>10</v>
      </c>
      <c r="J498" s="2" t="s">
        <v>19</v>
      </c>
      <c r="K498">
        <f t="shared" si="7"/>
        <v>28793.22</v>
      </c>
      <c r="L498">
        <f>K498-(K498*I498/100)</f>
        <v>25913.898000000001</v>
      </c>
    </row>
    <row r="499" spans="1:12" x14ac:dyDescent="0.25">
      <c r="A499" s="2">
        <v>10498</v>
      </c>
      <c r="B499" s="8">
        <v>45907</v>
      </c>
      <c r="C499" s="2" t="s">
        <v>20</v>
      </c>
      <c r="D499" s="2" t="s">
        <v>45</v>
      </c>
      <c r="E499" s="2" t="s">
        <v>40</v>
      </c>
      <c r="F499" s="2" t="s">
        <v>53</v>
      </c>
      <c r="G499" s="2">
        <v>12</v>
      </c>
      <c r="H499" s="2">
        <v>3139.27</v>
      </c>
      <c r="I499" s="2">
        <v>10</v>
      </c>
      <c r="J499" s="2" t="s">
        <v>14</v>
      </c>
      <c r="K499">
        <f t="shared" si="7"/>
        <v>37671.24</v>
      </c>
      <c r="L499">
        <f>K499-(K499*I499/100)</f>
        <v>33904.115999999995</v>
      </c>
    </row>
    <row r="500" spans="1:12" x14ac:dyDescent="0.25">
      <c r="A500" s="2">
        <v>10499</v>
      </c>
      <c r="B500" s="8">
        <v>45668</v>
      </c>
      <c r="C500" s="2" t="s">
        <v>39</v>
      </c>
      <c r="D500" s="2" t="s">
        <v>21</v>
      </c>
      <c r="E500" s="2" t="s">
        <v>34</v>
      </c>
      <c r="F500" s="2" t="s">
        <v>38</v>
      </c>
      <c r="G500" s="2">
        <v>13</v>
      </c>
      <c r="H500" s="2">
        <v>3212.3</v>
      </c>
      <c r="I500" s="2">
        <v>5</v>
      </c>
      <c r="J500" s="2" t="s">
        <v>23</v>
      </c>
      <c r="K500">
        <f t="shared" si="7"/>
        <v>41759.9</v>
      </c>
      <c r="L500">
        <f>K500-(K500*I500/100)</f>
        <v>39671.904999999999</v>
      </c>
    </row>
    <row r="501" spans="1:12" x14ac:dyDescent="0.25">
      <c r="A501" s="2">
        <v>10500</v>
      </c>
      <c r="B501" s="8">
        <v>45843</v>
      </c>
      <c r="C501" s="2" t="s">
        <v>48</v>
      </c>
      <c r="D501" s="2" t="s">
        <v>52</v>
      </c>
      <c r="E501" s="2" t="s">
        <v>17</v>
      </c>
      <c r="F501" s="2" t="s">
        <v>18</v>
      </c>
      <c r="G501" s="2">
        <v>6</v>
      </c>
      <c r="H501" s="2">
        <v>1258.08</v>
      </c>
      <c r="I501" s="2">
        <v>5</v>
      </c>
      <c r="J501" s="2" t="s">
        <v>23</v>
      </c>
      <c r="K501">
        <f t="shared" si="7"/>
        <v>7548.48</v>
      </c>
      <c r="L501">
        <f>K501-(K501*I501/100)</f>
        <v>7171.0559999999996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2"/>
  <sheetViews>
    <sheetView topLeftCell="B7" workbookViewId="0">
      <selection activeCell="C26" sqref="C26"/>
    </sheetView>
  </sheetViews>
  <sheetFormatPr defaultRowHeight="15" x14ac:dyDescent="0.25"/>
  <cols>
    <col min="2" max="2" width="29.140625" bestFit="1" customWidth="1"/>
    <col min="3" max="3" width="36.5703125" bestFit="1" customWidth="1"/>
    <col min="6" max="6" width="10.42578125" bestFit="1" customWidth="1"/>
    <col min="10" max="10" width="9.85546875" bestFit="1" customWidth="1"/>
  </cols>
  <sheetData>
    <row r="1" spans="1:16" x14ac:dyDescent="0.25">
      <c r="A1" s="1" t="s">
        <v>57</v>
      </c>
      <c r="B1" s="1" t="s">
        <v>58</v>
      </c>
    </row>
    <row r="2" spans="1:16" x14ac:dyDescent="0.25">
      <c r="A2">
        <v>1</v>
      </c>
      <c r="B2" t="s">
        <v>59</v>
      </c>
      <c r="C2">
        <f>COUNT(Data!A2:A501)</f>
        <v>500</v>
      </c>
      <c r="E2" s="3" t="s">
        <v>0</v>
      </c>
      <c r="F2" s="7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  <c r="O2" s="3" t="s">
        <v>87</v>
      </c>
      <c r="P2" s="3" t="s">
        <v>88</v>
      </c>
    </row>
    <row r="3" spans="1:16" x14ac:dyDescent="0.25">
      <c r="A3">
        <v>2</v>
      </c>
      <c r="B3" t="s">
        <v>60</v>
      </c>
      <c r="C3">
        <f>ROUND(AVERAGE(Data!H2:H501),2)</f>
        <v>2579.7399999999998</v>
      </c>
      <c r="E3" s="2">
        <v>10001</v>
      </c>
      <c r="F3" s="8">
        <v>45845</v>
      </c>
      <c r="G3" s="2" t="s">
        <v>10</v>
      </c>
      <c r="H3" s="2" t="s">
        <v>11</v>
      </c>
      <c r="I3" s="2" t="s">
        <v>12</v>
      </c>
      <c r="J3" s="2" t="s">
        <v>13</v>
      </c>
      <c r="K3" s="2">
        <v>13</v>
      </c>
      <c r="L3" s="2">
        <v>1544.73</v>
      </c>
      <c r="M3" s="2">
        <v>15</v>
      </c>
      <c r="N3" s="2" t="s">
        <v>14</v>
      </c>
      <c r="O3">
        <f>K3*L3</f>
        <v>20081.490000000002</v>
      </c>
      <c r="P3">
        <f>O3-(O3*M3/100)</f>
        <v>17069.266500000002</v>
      </c>
    </row>
    <row r="4" spans="1:16" x14ac:dyDescent="0.25">
      <c r="A4">
        <v>3</v>
      </c>
      <c r="B4" t="s">
        <v>61</v>
      </c>
      <c r="C4">
        <f>MAX(Data!H2:H501)</f>
        <v>4994.29</v>
      </c>
      <c r="E4" s="2">
        <v>10002</v>
      </c>
      <c r="F4" s="8">
        <v>45842</v>
      </c>
      <c r="G4" s="2" t="s">
        <v>15</v>
      </c>
      <c r="H4" s="2" t="s">
        <v>16</v>
      </c>
      <c r="I4" s="2" t="s">
        <v>17</v>
      </c>
      <c r="J4" s="2" t="s">
        <v>18</v>
      </c>
      <c r="K4" s="2">
        <v>20</v>
      </c>
      <c r="L4" s="2">
        <v>1583.87</v>
      </c>
      <c r="M4" s="2">
        <v>5</v>
      </c>
      <c r="N4" s="2" t="s">
        <v>19</v>
      </c>
      <c r="O4">
        <f t="shared" ref="O4:O67" si="0">K4*L4</f>
        <v>31677.399999999998</v>
      </c>
      <c r="P4">
        <f>O4-(O4*M4/100)</f>
        <v>30093.53</v>
      </c>
    </row>
    <row r="5" spans="1:16" x14ac:dyDescent="0.25">
      <c r="A5">
        <v>4</v>
      </c>
      <c r="B5" t="s">
        <v>62</v>
      </c>
      <c r="C5">
        <f>MIN(Data!H2:H501)</f>
        <v>53.45</v>
      </c>
      <c r="E5" s="2">
        <v>10003</v>
      </c>
      <c r="F5" s="8">
        <v>45974</v>
      </c>
      <c r="G5" s="2" t="s">
        <v>20</v>
      </c>
      <c r="H5" s="2" t="s">
        <v>21</v>
      </c>
      <c r="I5" s="2" t="s">
        <v>12</v>
      </c>
      <c r="J5" s="2" t="s">
        <v>22</v>
      </c>
      <c r="K5" s="2">
        <v>17</v>
      </c>
      <c r="L5" s="2">
        <v>4228.53</v>
      </c>
      <c r="M5" s="2">
        <v>20</v>
      </c>
      <c r="N5" s="2" t="s">
        <v>23</v>
      </c>
      <c r="O5">
        <f t="shared" si="0"/>
        <v>71885.009999999995</v>
      </c>
      <c r="P5">
        <f>O5-(O5*M5/100)</f>
        <v>57508.007999999994</v>
      </c>
    </row>
    <row r="6" spans="1:16" x14ac:dyDescent="0.25">
      <c r="A6">
        <v>5</v>
      </c>
      <c r="B6" t="s">
        <v>63</v>
      </c>
      <c r="C6">
        <f>SUM(Data!G2:G501)</f>
        <v>5211</v>
      </c>
      <c r="E6" s="2">
        <v>10004</v>
      </c>
      <c r="F6" s="8">
        <v>45770</v>
      </c>
      <c r="G6" s="2" t="s">
        <v>24</v>
      </c>
      <c r="H6" s="2" t="s">
        <v>25</v>
      </c>
      <c r="I6" s="2" t="s">
        <v>12</v>
      </c>
      <c r="J6" s="2" t="s">
        <v>22</v>
      </c>
      <c r="K6" s="2">
        <v>6</v>
      </c>
      <c r="L6" s="2">
        <v>1965.31</v>
      </c>
      <c r="M6" s="2">
        <v>15</v>
      </c>
      <c r="N6" s="2" t="s">
        <v>26</v>
      </c>
      <c r="O6">
        <f t="shared" si="0"/>
        <v>11791.86</v>
      </c>
      <c r="P6">
        <f>O6-(O6*M6/100)</f>
        <v>10023.081</v>
      </c>
    </row>
    <row r="7" spans="1:16" x14ac:dyDescent="0.25">
      <c r="A7">
        <v>6</v>
      </c>
      <c r="B7" t="s">
        <v>64</v>
      </c>
      <c r="C7" t="s">
        <v>84</v>
      </c>
      <c r="E7" s="2">
        <v>10005</v>
      </c>
      <c r="F7" s="8">
        <v>45839</v>
      </c>
      <c r="G7" s="2" t="s">
        <v>27</v>
      </c>
      <c r="H7" s="2" t="s">
        <v>25</v>
      </c>
      <c r="I7" s="2" t="s">
        <v>17</v>
      </c>
      <c r="J7" s="2" t="s">
        <v>28</v>
      </c>
      <c r="K7" s="2">
        <v>1</v>
      </c>
      <c r="L7" s="2">
        <v>4661.57</v>
      </c>
      <c r="M7" s="2">
        <v>10</v>
      </c>
      <c r="N7" s="2" t="s">
        <v>14</v>
      </c>
      <c r="O7">
        <f t="shared" si="0"/>
        <v>4661.57</v>
      </c>
      <c r="P7">
        <f>O7-(O7*M7/100)</f>
        <v>4195.4129999999996</v>
      </c>
    </row>
    <row r="8" spans="1:16" x14ac:dyDescent="0.25">
      <c r="A8">
        <v>7</v>
      </c>
      <c r="B8" t="s">
        <v>65</v>
      </c>
      <c r="C8" t="s">
        <v>85</v>
      </c>
      <c r="E8" s="2">
        <v>10006</v>
      </c>
      <c r="F8" s="8">
        <v>45720</v>
      </c>
      <c r="G8" s="2" t="s">
        <v>15</v>
      </c>
      <c r="H8" s="2" t="s">
        <v>29</v>
      </c>
      <c r="I8" s="2" t="s">
        <v>17</v>
      </c>
      <c r="J8" s="2" t="s">
        <v>28</v>
      </c>
      <c r="K8" s="2">
        <v>9</v>
      </c>
      <c r="L8" s="2">
        <v>4775.83</v>
      </c>
      <c r="M8" s="2">
        <v>20</v>
      </c>
      <c r="N8" s="2" t="s">
        <v>30</v>
      </c>
      <c r="O8">
        <f t="shared" si="0"/>
        <v>42982.47</v>
      </c>
      <c r="P8">
        <f>O8-(O8*M8/100)</f>
        <v>34385.976000000002</v>
      </c>
    </row>
    <row r="9" spans="1:16" x14ac:dyDescent="0.25">
      <c r="A9">
        <v>8</v>
      </c>
      <c r="B9" t="s">
        <v>66</v>
      </c>
      <c r="C9">
        <f>COUNTIF(Data!D2:D501,"Delhi")</f>
        <v>52</v>
      </c>
      <c r="E9" s="2">
        <v>10007</v>
      </c>
      <c r="F9" s="8">
        <v>45867</v>
      </c>
      <c r="G9" s="2" t="s">
        <v>31</v>
      </c>
      <c r="H9" s="2" t="s">
        <v>25</v>
      </c>
      <c r="I9" s="2" t="s">
        <v>17</v>
      </c>
      <c r="J9" s="2" t="s">
        <v>18</v>
      </c>
      <c r="K9" s="2">
        <v>10</v>
      </c>
      <c r="L9" s="2">
        <v>2195</v>
      </c>
      <c r="M9" s="2">
        <v>5</v>
      </c>
      <c r="N9" s="2" t="s">
        <v>30</v>
      </c>
      <c r="O9">
        <f t="shared" si="0"/>
        <v>21950</v>
      </c>
      <c r="P9">
        <f>O9-(O9*M9/100)</f>
        <v>20852.5</v>
      </c>
    </row>
    <row r="10" spans="1:16" x14ac:dyDescent="0.25">
      <c r="A10">
        <v>9</v>
      </c>
      <c r="B10" t="s">
        <v>67</v>
      </c>
      <c r="C10">
        <f>AVERAGE(Data!I2:I501)</f>
        <v>10.09</v>
      </c>
      <c r="E10" s="2">
        <v>10008</v>
      </c>
      <c r="F10" s="8">
        <v>45838</v>
      </c>
      <c r="G10" s="2" t="s">
        <v>32</v>
      </c>
      <c r="H10" s="2" t="s">
        <v>16</v>
      </c>
      <c r="I10" s="2" t="s">
        <v>12</v>
      </c>
      <c r="J10" s="2" t="s">
        <v>33</v>
      </c>
      <c r="K10" s="2">
        <v>3</v>
      </c>
      <c r="L10" s="2">
        <v>1341.02</v>
      </c>
      <c r="M10" s="2">
        <v>0</v>
      </c>
      <c r="N10" s="2" t="s">
        <v>14</v>
      </c>
      <c r="O10">
        <f t="shared" si="0"/>
        <v>4023.06</v>
      </c>
      <c r="P10">
        <f>O10-(O10*M10/100)</f>
        <v>4023.06</v>
      </c>
    </row>
    <row r="11" spans="1:16" x14ac:dyDescent="0.25">
      <c r="A11">
        <v>10</v>
      </c>
      <c r="B11" t="s">
        <v>68</v>
      </c>
      <c r="C11">
        <f>MAX(Data!G2:G501)</f>
        <v>20</v>
      </c>
      <c r="E11" s="2">
        <v>10009</v>
      </c>
      <c r="F11" s="8">
        <v>45904</v>
      </c>
      <c r="G11" s="2" t="s">
        <v>15</v>
      </c>
      <c r="H11" s="2" t="s">
        <v>21</v>
      </c>
      <c r="I11" s="2" t="s">
        <v>34</v>
      </c>
      <c r="J11" s="2" t="s">
        <v>35</v>
      </c>
      <c r="K11" s="2">
        <v>5</v>
      </c>
      <c r="L11" s="2">
        <v>3049.83</v>
      </c>
      <c r="M11" s="2">
        <v>0</v>
      </c>
      <c r="N11" s="2" t="s">
        <v>14</v>
      </c>
      <c r="O11">
        <f t="shared" si="0"/>
        <v>15249.15</v>
      </c>
      <c r="P11">
        <f>O11-(O11*M11/100)</f>
        <v>15249.15</v>
      </c>
    </row>
    <row r="12" spans="1:16" x14ac:dyDescent="0.25">
      <c r="A12">
        <v>11</v>
      </c>
      <c r="B12" t="s">
        <v>69</v>
      </c>
      <c r="C12">
        <f>MIN(Data!G2:G501)</f>
        <v>1</v>
      </c>
      <c r="E12" s="2">
        <v>10010</v>
      </c>
      <c r="F12" s="8">
        <v>45725</v>
      </c>
      <c r="G12" s="2" t="s">
        <v>10</v>
      </c>
      <c r="H12" s="2" t="s">
        <v>29</v>
      </c>
      <c r="I12" s="2" t="s">
        <v>17</v>
      </c>
      <c r="J12" s="2" t="s">
        <v>36</v>
      </c>
      <c r="K12" s="2">
        <v>3</v>
      </c>
      <c r="L12" s="2">
        <v>4281.4799999999996</v>
      </c>
      <c r="M12" s="2">
        <v>10</v>
      </c>
      <c r="N12" s="2" t="s">
        <v>30</v>
      </c>
      <c r="O12">
        <f t="shared" si="0"/>
        <v>12844.439999999999</v>
      </c>
      <c r="P12">
        <f>O12-(O12*M12/100)</f>
        <v>11559.995999999999</v>
      </c>
    </row>
    <row r="13" spans="1:16" x14ac:dyDescent="0.25">
      <c r="A13">
        <v>12</v>
      </c>
      <c r="B13" t="s">
        <v>70</v>
      </c>
      <c r="C13" t="s">
        <v>86</v>
      </c>
      <c r="E13" s="2">
        <v>10011</v>
      </c>
      <c r="F13" s="8">
        <v>45971</v>
      </c>
      <c r="G13" s="2" t="s">
        <v>10</v>
      </c>
      <c r="H13" s="2" t="s">
        <v>37</v>
      </c>
      <c r="I13" s="2" t="s">
        <v>34</v>
      </c>
      <c r="J13" s="2" t="s">
        <v>38</v>
      </c>
      <c r="K13" s="2">
        <v>9</v>
      </c>
      <c r="L13" s="2">
        <v>3933.1</v>
      </c>
      <c r="M13" s="2">
        <v>20</v>
      </c>
      <c r="N13" s="2" t="s">
        <v>30</v>
      </c>
      <c r="O13">
        <f t="shared" si="0"/>
        <v>35397.9</v>
      </c>
      <c r="P13">
        <f>O13-(O13*M13/100)</f>
        <v>28318.32</v>
      </c>
    </row>
    <row r="14" spans="1:16" x14ac:dyDescent="0.25">
      <c r="A14">
        <v>13</v>
      </c>
      <c r="B14" t="s">
        <v>71</v>
      </c>
      <c r="C14">
        <f>Data!G2*Data!H2</f>
        <v>20081.490000000002</v>
      </c>
      <c r="E14" s="2">
        <v>10012</v>
      </c>
      <c r="F14" s="8">
        <v>45680</v>
      </c>
      <c r="G14" s="2" t="s">
        <v>20</v>
      </c>
      <c r="H14" s="2" t="s">
        <v>37</v>
      </c>
      <c r="I14" s="2" t="s">
        <v>17</v>
      </c>
      <c r="J14" s="2" t="s">
        <v>36</v>
      </c>
      <c r="K14" s="2">
        <v>16</v>
      </c>
      <c r="L14" s="2">
        <v>1934.04</v>
      </c>
      <c r="M14" s="2">
        <v>5</v>
      </c>
      <c r="N14" s="2" t="s">
        <v>14</v>
      </c>
      <c r="O14">
        <f t="shared" si="0"/>
        <v>30944.639999999999</v>
      </c>
      <c r="P14">
        <f>O14-(O14*M14/100)</f>
        <v>29397.407999999999</v>
      </c>
    </row>
    <row r="15" spans="1:16" x14ac:dyDescent="0.25">
      <c r="A15">
        <v>14</v>
      </c>
      <c r="B15" t="s">
        <v>72</v>
      </c>
      <c r="C15" t="e">
        <f>L2-(L2*I2/100)</f>
        <v>#VALUE!</v>
      </c>
      <c r="E15" s="2">
        <v>10013</v>
      </c>
      <c r="F15" s="8">
        <v>45964</v>
      </c>
      <c r="G15" s="2" t="s">
        <v>39</v>
      </c>
      <c r="H15" s="2" t="s">
        <v>16</v>
      </c>
      <c r="I15" s="2" t="s">
        <v>40</v>
      </c>
      <c r="J15" s="2" t="s">
        <v>41</v>
      </c>
      <c r="K15" s="2">
        <v>17</v>
      </c>
      <c r="L15" s="2">
        <v>3573.48</v>
      </c>
      <c r="M15" s="2">
        <v>20</v>
      </c>
      <c r="N15" s="2" t="s">
        <v>26</v>
      </c>
      <c r="O15">
        <f t="shared" si="0"/>
        <v>60749.16</v>
      </c>
      <c r="P15">
        <f>O15-(O15*M15/100)</f>
        <v>48599.328000000001</v>
      </c>
    </row>
    <row r="16" spans="1:16" x14ac:dyDescent="0.25">
      <c r="A16">
        <v>15</v>
      </c>
      <c r="B16" t="s">
        <v>73</v>
      </c>
      <c r="C16" t="s">
        <v>93</v>
      </c>
      <c r="E16" s="2">
        <v>10014</v>
      </c>
      <c r="F16" s="8">
        <v>46002</v>
      </c>
      <c r="G16" s="2" t="s">
        <v>42</v>
      </c>
      <c r="H16" s="2" t="s">
        <v>25</v>
      </c>
      <c r="I16" s="2" t="s">
        <v>12</v>
      </c>
      <c r="J16" s="2" t="s">
        <v>22</v>
      </c>
      <c r="K16" s="2">
        <v>2</v>
      </c>
      <c r="L16" s="2">
        <v>4119.25</v>
      </c>
      <c r="M16" s="2">
        <v>20</v>
      </c>
      <c r="N16" s="2" t="s">
        <v>23</v>
      </c>
      <c r="O16">
        <f t="shared" si="0"/>
        <v>8238.5</v>
      </c>
      <c r="P16">
        <f>O16-(O16*M16/100)</f>
        <v>6590.8</v>
      </c>
    </row>
    <row r="17" spans="1:16" x14ac:dyDescent="0.25">
      <c r="A17">
        <v>16</v>
      </c>
      <c r="B17" t="s">
        <v>74</v>
      </c>
      <c r="C17" t="s">
        <v>93</v>
      </c>
      <c r="E17" s="2">
        <v>10015</v>
      </c>
      <c r="F17" s="8">
        <v>45863</v>
      </c>
      <c r="G17" s="2" t="s">
        <v>43</v>
      </c>
      <c r="H17" s="2" t="s">
        <v>11</v>
      </c>
      <c r="I17" s="2" t="s">
        <v>34</v>
      </c>
      <c r="J17" s="2" t="s">
        <v>38</v>
      </c>
      <c r="K17" s="2">
        <v>12</v>
      </c>
      <c r="L17" s="2">
        <v>3746.44</v>
      </c>
      <c r="M17" s="2">
        <v>20</v>
      </c>
      <c r="N17" s="2" t="s">
        <v>19</v>
      </c>
      <c r="O17">
        <f t="shared" si="0"/>
        <v>44957.279999999999</v>
      </c>
      <c r="P17">
        <f>O17-(O17*M17/100)</f>
        <v>35965.824000000001</v>
      </c>
    </row>
    <row r="18" spans="1:16" x14ac:dyDescent="0.25">
      <c r="A18">
        <v>17</v>
      </c>
      <c r="B18" t="s">
        <v>75</v>
      </c>
      <c r="C18" t="s">
        <v>93</v>
      </c>
      <c r="E18" s="2">
        <v>10016</v>
      </c>
      <c r="F18" s="8">
        <v>45683</v>
      </c>
      <c r="G18" s="2" t="s">
        <v>43</v>
      </c>
      <c r="H18" s="2" t="s">
        <v>37</v>
      </c>
      <c r="I18" s="2" t="s">
        <v>12</v>
      </c>
      <c r="J18" s="2" t="s">
        <v>33</v>
      </c>
      <c r="K18" s="2">
        <v>20</v>
      </c>
      <c r="L18" s="2">
        <v>1527.48</v>
      </c>
      <c r="M18" s="2">
        <v>20</v>
      </c>
      <c r="N18" s="2" t="s">
        <v>30</v>
      </c>
      <c r="O18">
        <f t="shared" si="0"/>
        <v>30549.599999999999</v>
      </c>
      <c r="P18">
        <f>O18-(O18*M18/100)</f>
        <v>24439.68</v>
      </c>
    </row>
    <row r="19" spans="1:16" x14ac:dyDescent="0.25">
      <c r="A19">
        <v>18</v>
      </c>
      <c r="B19" t="s">
        <v>76</v>
      </c>
      <c r="C19" t="s">
        <v>96</v>
      </c>
      <c r="E19" s="2">
        <v>10017</v>
      </c>
      <c r="F19" s="8">
        <v>45715</v>
      </c>
      <c r="G19" s="2" t="s">
        <v>20</v>
      </c>
      <c r="H19" s="2" t="s">
        <v>11</v>
      </c>
      <c r="I19" s="2" t="s">
        <v>34</v>
      </c>
      <c r="J19" s="2" t="s">
        <v>44</v>
      </c>
      <c r="K19" s="2">
        <v>19</v>
      </c>
      <c r="L19" s="2">
        <v>4994.29</v>
      </c>
      <c r="M19" s="2">
        <v>15</v>
      </c>
      <c r="N19" s="2" t="s">
        <v>19</v>
      </c>
      <c r="O19">
        <f t="shared" si="0"/>
        <v>94891.51</v>
      </c>
      <c r="P19">
        <f>O19-(O19*M19/100)</f>
        <v>80657.78349999999</v>
      </c>
    </row>
    <row r="20" spans="1:16" x14ac:dyDescent="0.25">
      <c r="A20">
        <v>19</v>
      </c>
      <c r="B20" t="s">
        <v>77</v>
      </c>
      <c r="C20" t="s">
        <v>93</v>
      </c>
      <c r="E20" s="2">
        <v>10018</v>
      </c>
      <c r="F20" s="8">
        <v>45690</v>
      </c>
      <c r="G20" s="2" t="s">
        <v>10</v>
      </c>
      <c r="H20" s="2" t="s">
        <v>21</v>
      </c>
      <c r="I20" s="2" t="s">
        <v>12</v>
      </c>
      <c r="J20" s="2" t="s">
        <v>22</v>
      </c>
      <c r="K20" s="2">
        <v>14</v>
      </c>
      <c r="L20" s="2">
        <v>2289.5700000000002</v>
      </c>
      <c r="M20" s="2">
        <v>20</v>
      </c>
      <c r="N20" s="2" t="s">
        <v>23</v>
      </c>
      <c r="O20">
        <f t="shared" si="0"/>
        <v>32053.980000000003</v>
      </c>
      <c r="P20">
        <f>O20-(O20*M20/100)</f>
        <v>25643.184000000001</v>
      </c>
    </row>
    <row r="21" spans="1:16" x14ac:dyDescent="0.25">
      <c r="A21">
        <v>20</v>
      </c>
      <c r="B21" t="s">
        <v>78</v>
      </c>
      <c r="C21" t="s">
        <v>93</v>
      </c>
      <c r="E21" s="2">
        <v>10019</v>
      </c>
      <c r="F21" s="8">
        <v>45853</v>
      </c>
      <c r="G21" s="2" t="s">
        <v>32</v>
      </c>
      <c r="H21" s="2" t="s">
        <v>45</v>
      </c>
      <c r="I21" s="2" t="s">
        <v>40</v>
      </c>
      <c r="J21" s="2" t="s">
        <v>46</v>
      </c>
      <c r="K21" s="2">
        <v>13</v>
      </c>
      <c r="L21" s="2">
        <v>2094.8200000000002</v>
      </c>
      <c r="M21" s="2">
        <v>15</v>
      </c>
      <c r="N21" s="2" t="s">
        <v>26</v>
      </c>
      <c r="O21">
        <f t="shared" si="0"/>
        <v>27232.660000000003</v>
      </c>
      <c r="P21">
        <f>O21-(O21*M21/100)</f>
        <v>23147.761000000002</v>
      </c>
    </row>
    <row r="22" spans="1:16" x14ac:dyDescent="0.25">
      <c r="A22">
        <v>21</v>
      </c>
      <c r="B22" t="s">
        <v>79</v>
      </c>
      <c r="C22" t="str">
        <f>INDEX(Data!E2:E501,MATCH(Data!F2,Data!F2:F501,0))</f>
        <v>Grocery</v>
      </c>
      <c r="E22" s="2">
        <v>10020</v>
      </c>
      <c r="F22" s="8">
        <v>45720</v>
      </c>
      <c r="G22" s="2" t="s">
        <v>15</v>
      </c>
      <c r="H22" s="2" t="s">
        <v>47</v>
      </c>
      <c r="I22" s="2" t="s">
        <v>17</v>
      </c>
      <c r="J22" s="2" t="s">
        <v>18</v>
      </c>
      <c r="K22" s="2">
        <v>12</v>
      </c>
      <c r="L22" s="2">
        <v>2786.09</v>
      </c>
      <c r="M22" s="2">
        <v>15</v>
      </c>
      <c r="N22" s="2" t="s">
        <v>26</v>
      </c>
      <c r="O22">
        <f t="shared" si="0"/>
        <v>33433.08</v>
      </c>
      <c r="P22">
        <f>O22-(O22*M22/100)</f>
        <v>28418.118000000002</v>
      </c>
    </row>
    <row r="23" spans="1:16" x14ac:dyDescent="0.25">
      <c r="A23">
        <v>22</v>
      </c>
      <c r="B23" t="s">
        <v>80</v>
      </c>
      <c r="C23">
        <f>_xlfn.RANK.EQ(Data!H2,Data!H2:H501,1)</f>
        <v>145</v>
      </c>
      <c r="E23" s="2">
        <v>10021</v>
      </c>
      <c r="F23" s="8">
        <v>45698</v>
      </c>
      <c r="G23" s="2" t="s">
        <v>20</v>
      </c>
      <c r="H23" s="2" t="s">
        <v>45</v>
      </c>
      <c r="I23" s="2" t="s">
        <v>34</v>
      </c>
      <c r="J23" s="2" t="s">
        <v>35</v>
      </c>
      <c r="K23" s="2">
        <v>18</v>
      </c>
      <c r="L23" s="2">
        <v>4654.1499999999996</v>
      </c>
      <c r="M23" s="2">
        <v>20</v>
      </c>
      <c r="N23" s="2" t="s">
        <v>30</v>
      </c>
      <c r="O23">
        <f t="shared" si="0"/>
        <v>83774.7</v>
      </c>
      <c r="P23">
        <f>O23-(O23*M23/100)</f>
        <v>67019.759999999995</v>
      </c>
    </row>
    <row r="24" spans="1:16" x14ac:dyDescent="0.25">
      <c r="A24">
        <v>23</v>
      </c>
      <c r="B24" t="s">
        <v>81</v>
      </c>
      <c r="C24" t="str">
        <f>Data!C2&amp;"-"&amp;Data!D2</f>
        <v>Meera-Patna</v>
      </c>
      <c r="E24" s="2">
        <v>10022</v>
      </c>
      <c r="F24" s="8">
        <v>45750</v>
      </c>
      <c r="G24" s="2" t="s">
        <v>48</v>
      </c>
      <c r="H24" s="2" t="s">
        <v>21</v>
      </c>
      <c r="I24" s="2" t="s">
        <v>40</v>
      </c>
      <c r="J24" s="2" t="s">
        <v>49</v>
      </c>
      <c r="K24" s="2">
        <v>18</v>
      </c>
      <c r="L24" s="2">
        <v>173.08</v>
      </c>
      <c r="M24" s="2">
        <v>0</v>
      </c>
      <c r="N24" s="2" t="s">
        <v>23</v>
      </c>
      <c r="O24">
        <f t="shared" si="0"/>
        <v>3115.44</v>
      </c>
      <c r="P24">
        <f>O24-(O24*M24/100)</f>
        <v>3115.44</v>
      </c>
    </row>
    <row r="25" spans="1:16" x14ac:dyDescent="0.25">
      <c r="A25">
        <v>24</v>
      </c>
      <c r="B25" t="s">
        <v>82</v>
      </c>
      <c r="C25">
        <f>MONTH(Data!B2)</f>
        <v>7</v>
      </c>
      <c r="E25" s="2">
        <v>10023</v>
      </c>
      <c r="F25" s="8">
        <v>45906</v>
      </c>
      <c r="G25" s="2" t="s">
        <v>48</v>
      </c>
      <c r="H25" s="2" t="s">
        <v>21</v>
      </c>
      <c r="I25" s="2" t="s">
        <v>34</v>
      </c>
      <c r="J25" s="2" t="s">
        <v>50</v>
      </c>
      <c r="K25" s="2">
        <v>11</v>
      </c>
      <c r="L25" s="2">
        <v>1761.18</v>
      </c>
      <c r="M25" s="2">
        <v>10</v>
      </c>
      <c r="N25" s="2" t="s">
        <v>30</v>
      </c>
      <c r="O25">
        <f t="shared" si="0"/>
        <v>19372.98</v>
      </c>
      <c r="P25">
        <f>O25-(O25*M25/100)</f>
        <v>17435.682000000001</v>
      </c>
    </row>
    <row r="26" spans="1:16" x14ac:dyDescent="0.25">
      <c r="A26">
        <v>25</v>
      </c>
      <c r="B26" t="s">
        <v>83</v>
      </c>
      <c r="E26" s="2">
        <v>10024</v>
      </c>
      <c r="F26" s="8">
        <v>45997</v>
      </c>
      <c r="G26" s="2" t="s">
        <v>32</v>
      </c>
      <c r="H26" s="2" t="s">
        <v>29</v>
      </c>
      <c r="I26" s="2" t="s">
        <v>17</v>
      </c>
      <c r="J26" s="2" t="s">
        <v>18</v>
      </c>
      <c r="K26" s="2">
        <v>18</v>
      </c>
      <c r="L26" s="2">
        <v>733.78</v>
      </c>
      <c r="M26" s="2">
        <v>5</v>
      </c>
      <c r="N26" s="2" t="s">
        <v>14</v>
      </c>
      <c r="O26">
        <f t="shared" si="0"/>
        <v>13208.039999999999</v>
      </c>
      <c r="P26">
        <f>O26-(O26*M26/100)</f>
        <v>12547.637999999999</v>
      </c>
    </row>
    <row r="27" spans="1:16" x14ac:dyDescent="0.25">
      <c r="E27" s="2">
        <v>10025</v>
      </c>
      <c r="F27" s="8">
        <v>45687</v>
      </c>
      <c r="G27" s="2" t="s">
        <v>10</v>
      </c>
      <c r="H27" s="2" t="s">
        <v>29</v>
      </c>
      <c r="I27" s="2" t="s">
        <v>40</v>
      </c>
      <c r="J27" s="2" t="s">
        <v>41</v>
      </c>
      <c r="K27" s="2">
        <v>17</v>
      </c>
      <c r="L27" s="2">
        <v>1312.74</v>
      </c>
      <c r="M27" s="2">
        <v>10</v>
      </c>
      <c r="N27" s="2" t="s">
        <v>19</v>
      </c>
      <c r="O27">
        <f t="shared" si="0"/>
        <v>22316.58</v>
      </c>
      <c r="P27">
        <f>O27-(O27*M27/100)</f>
        <v>20084.922000000002</v>
      </c>
    </row>
    <row r="28" spans="1:16" x14ac:dyDescent="0.25">
      <c r="E28" s="2">
        <v>10026</v>
      </c>
      <c r="F28" s="8">
        <v>45808</v>
      </c>
      <c r="G28" s="2" t="s">
        <v>31</v>
      </c>
      <c r="H28" s="2" t="s">
        <v>16</v>
      </c>
      <c r="I28" s="2" t="s">
        <v>34</v>
      </c>
      <c r="J28" s="2" t="s">
        <v>38</v>
      </c>
      <c r="K28" s="2">
        <v>20</v>
      </c>
      <c r="L28" s="2">
        <v>2066.4899999999998</v>
      </c>
      <c r="M28" s="2">
        <v>15</v>
      </c>
      <c r="N28" s="2" t="s">
        <v>19</v>
      </c>
      <c r="O28">
        <f t="shared" si="0"/>
        <v>41329.799999999996</v>
      </c>
      <c r="P28">
        <f>O28-(O28*M28/100)</f>
        <v>35130.329999999994</v>
      </c>
    </row>
    <row r="29" spans="1:16" x14ac:dyDescent="0.25">
      <c r="E29" s="2">
        <v>10027</v>
      </c>
      <c r="F29" s="8">
        <v>45864</v>
      </c>
      <c r="G29" s="2" t="s">
        <v>32</v>
      </c>
      <c r="H29" s="2" t="s">
        <v>37</v>
      </c>
      <c r="I29" s="2" t="s">
        <v>34</v>
      </c>
      <c r="J29" s="2" t="s">
        <v>50</v>
      </c>
      <c r="K29" s="2">
        <v>20</v>
      </c>
      <c r="L29" s="2">
        <v>418.14</v>
      </c>
      <c r="M29" s="2">
        <v>15</v>
      </c>
      <c r="N29" s="2" t="s">
        <v>30</v>
      </c>
      <c r="O29">
        <f t="shared" si="0"/>
        <v>8362.7999999999993</v>
      </c>
      <c r="P29">
        <f>O29-(O29*M29/100)</f>
        <v>7108.3799999999992</v>
      </c>
    </row>
    <row r="30" spans="1:16" x14ac:dyDescent="0.25">
      <c r="E30" s="2">
        <v>10028</v>
      </c>
      <c r="F30" s="8">
        <v>45678</v>
      </c>
      <c r="G30" s="2" t="s">
        <v>20</v>
      </c>
      <c r="H30" s="2" t="s">
        <v>47</v>
      </c>
      <c r="I30" s="2" t="s">
        <v>34</v>
      </c>
      <c r="J30" s="2" t="s">
        <v>50</v>
      </c>
      <c r="K30" s="2">
        <v>12</v>
      </c>
      <c r="L30" s="2">
        <v>4542.32</v>
      </c>
      <c r="M30" s="2">
        <v>0</v>
      </c>
      <c r="N30" s="2" t="s">
        <v>30</v>
      </c>
      <c r="O30">
        <f t="shared" si="0"/>
        <v>54507.839999999997</v>
      </c>
      <c r="P30">
        <f>O30-(O30*M30/100)</f>
        <v>54507.839999999997</v>
      </c>
    </row>
    <row r="31" spans="1:16" x14ac:dyDescent="0.25">
      <c r="E31" s="2">
        <v>10029</v>
      </c>
      <c r="F31" s="8">
        <v>45981</v>
      </c>
      <c r="G31" s="2" t="s">
        <v>10</v>
      </c>
      <c r="H31" s="2" t="s">
        <v>11</v>
      </c>
      <c r="I31" s="2" t="s">
        <v>40</v>
      </c>
      <c r="J31" s="2" t="s">
        <v>46</v>
      </c>
      <c r="K31" s="2">
        <v>3</v>
      </c>
      <c r="L31" s="2">
        <v>2580.2399999999998</v>
      </c>
      <c r="M31" s="2">
        <v>15</v>
      </c>
      <c r="N31" s="2" t="s">
        <v>19</v>
      </c>
      <c r="O31">
        <f t="shared" si="0"/>
        <v>7740.7199999999993</v>
      </c>
      <c r="P31">
        <f>O31-(O31*M31/100)</f>
        <v>6579.6119999999992</v>
      </c>
    </row>
    <row r="32" spans="1:16" x14ac:dyDescent="0.25">
      <c r="E32" s="2">
        <v>10030</v>
      </c>
      <c r="F32" s="8">
        <v>45704</v>
      </c>
      <c r="G32" s="2" t="s">
        <v>15</v>
      </c>
      <c r="H32" s="2" t="s">
        <v>51</v>
      </c>
      <c r="I32" s="2" t="s">
        <v>34</v>
      </c>
      <c r="J32" s="2" t="s">
        <v>44</v>
      </c>
      <c r="K32" s="2">
        <v>19</v>
      </c>
      <c r="L32" s="2">
        <v>3437.64</v>
      </c>
      <c r="M32" s="2">
        <v>20</v>
      </c>
      <c r="N32" s="2" t="s">
        <v>26</v>
      </c>
      <c r="O32">
        <f t="shared" si="0"/>
        <v>65315.159999999996</v>
      </c>
      <c r="P32">
        <f>O32-(O32*M32/100)</f>
        <v>52252.127999999997</v>
      </c>
    </row>
    <row r="33" spans="5:16" x14ac:dyDescent="0.25">
      <c r="E33" s="2">
        <v>10031</v>
      </c>
      <c r="F33" s="8">
        <v>45899</v>
      </c>
      <c r="G33" s="2" t="s">
        <v>31</v>
      </c>
      <c r="H33" s="2" t="s">
        <v>37</v>
      </c>
      <c r="I33" s="2" t="s">
        <v>34</v>
      </c>
      <c r="J33" s="2" t="s">
        <v>50</v>
      </c>
      <c r="K33" s="2">
        <v>4</v>
      </c>
      <c r="L33" s="2">
        <v>434.33</v>
      </c>
      <c r="M33" s="2">
        <v>5</v>
      </c>
      <c r="N33" s="2" t="s">
        <v>26</v>
      </c>
      <c r="O33">
        <f t="shared" si="0"/>
        <v>1737.32</v>
      </c>
      <c r="P33">
        <f>O33-(O33*M33/100)</f>
        <v>1650.454</v>
      </c>
    </row>
    <row r="34" spans="5:16" x14ac:dyDescent="0.25">
      <c r="E34" s="2">
        <v>10032</v>
      </c>
      <c r="F34" s="8">
        <v>45818</v>
      </c>
      <c r="G34" s="2" t="s">
        <v>24</v>
      </c>
      <c r="H34" s="2" t="s">
        <v>52</v>
      </c>
      <c r="I34" s="2" t="s">
        <v>40</v>
      </c>
      <c r="J34" s="2" t="s">
        <v>49</v>
      </c>
      <c r="K34" s="2">
        <v>4</v>
      </c>
      <c r="L34" s="2">
        <v>337.59</v>
      </c>
      <c r="M34" s="2">
        <v>15</v>
      </c>
      <c r="N34" s="2" t="s">
        <v>23</v>
      </c>
      <c r="O34">
        <f t="shared" si="0"/>
        <v>1350.36</v>
      </c>
      <c r="P34">
        <f>O34-(O34*M34/100)</f>
        <v>1147.806</v>
      </c>
    </row>
    <row r="35" spans="5:16" x14ac:dyDescent="0.25">
      <c r="E35" s="2">
        <v>10033</v>
      </c>
      <c r="F35" s="8">
        <v>45804</v>
      </c>
      <c r="G35" s="2" t="s">
        <v>27</v>
      </c>
      <c r="H35" s="2" t="s">
        <v>29</v>
      </c>
      <c r="I35" s="2" t="s">
        <v>17</v>
      </c>
      <c r="J35" s="2" t="s">
        <v>36</v>
      </c>
      <c r="K35" s="2">
        <v>5</v>
      </c>
      <c r="L35" s="2">
        <v>3902.93</v>
      </c>
      <c r="M35" s="2">
        <v>5</v>
      </c>
      <c r="N35" s="2" t="s">
        <v>23</v>
      </c>
      <c r="O35">
        <f t="shared" si="0"/>
        <v>19514.649999999998</v>
      </c>
      <c r="P35">
        <f>O35-(O35*M35/100)</f>
        <v>18538.9175</v>
      </c>
    </row>
    <row r="36" spans="5:16" x14ac:dyDescent="0.25">
      <c r="E36" s="2">
        <v>10034</v>
      </c>
      <c r="F36" s="8">
        <v>45826</v>
      </c>
      <c r="G36" s="2" t="s">
        <v>15</v>
      </c>
      <c r="H36" s="2" t="s">
        <v>37</v>
      </c>
      <c r="I36" s="2" t="s">
        <v>34</v>
      </c>
      <c r="J36" s="2" t="s">
        <v>44</v>
      </c>
      <c r="K36" s="2">
        <v>14</v>
      </c>
      <c r="L36" s="2">
        <v>1509.22</v>
      </c>
      <c r="M36" s="2">
        <v>5</v>
      </c>
      <c r="N36" s="2" t="s">
        <v>19</v>
      </c>
      <c r="O36">
        <f t="shared" si="0"/>
        <v>21129.08</v>
      </c>
      <c r="P36">
        <f>O36-(O36*M36/100)</f>
        <v>20072.626</v>
      </c>
    </row>
    <row r="37" spans="5:16" x14ac:dyDescent="0.25">
      <c r="E37" s="2">
        <v>10035</v>
      </c>
      <c r="F37" s="8">
        <v>45978</v>
      </c>
      <c r="G37" s="2" t="s">
        <v>39</v>
      </c>
      <c r="H37" s="2" t="s">
        <v>45</v>
      </c>
      <c r="I37" s="2" t="s">
        <v>34</v>
      </c>
      <c r="J37" s="2" t="s">
        <v>35</v>
      </c>
      <c r="K37" s="2">
        <v>17</v>
      </c>
      <c r="L37" s="2">
        <v>1591.6</v>
      </c>
      <c r="M37" s="2">
        <v>15</v>
      </c>
      <c r="N37" s="2" t="s">
        <v>19</v>
      </c>
      <c r="O37">
        <f t="shared" si="0"/>
        <v>27057.199999999997</v>
      </c>
      <c r="P37">
        <f>O37-(O37*M37/100)</f>
        <v>22998.62</v>
      </c>
    </row>
    <row r="38" spans="5:16" x14ac:dyDescent="0.25">
      <c r="E38" s="2">
        <v>10036</v>
      </c>
      <c r="F38" s="8">
        <v>45829</v>
      </c>
      <c r="G38" s="2" t="s">
        <v>32</v>
      </c>
      <c r="H38" s="2" t="s">
        <v>25</v>
      </c>
      <c r="I38" s="2" t="s">
        <v>12</v>
      </c>
      <c r="J38" s="2" t="s">
        <v>33</v>
      </c>
      <c r="K38" s="2">
        <v>20</v>
      </c>
      <c r="L38" s="2">
        <v>3357.81</v>
      </c>
      <c r="M38" s="2">
        <v>10</v>
      </c>
      <c r="N38" s="2" t="s">
        <v>26</v>
      </c>
      <c r="O38">
        <f t="shared" si="0"/>
        <v>67156.2</v>
      </c>
      <c r="P38">
        <f>O38-(O38*M38/100)</f>
        <v>60440.579999999994</v>
      </c>
    </row>
    <row r="39" spans="5:16" x14ac:dyDescent="0.25">
      <c r="E39" s="2">
        <v>10037</v>
      </c>
      <c r="F39" s="8">
        <v>45831</v>
      </c>
      <c r="G39" s="2" t="s">
        <v>10</v>
      </c>
      <c r="H39" s="2" t="s">
        <v>52</v>
      </c>
      <c r="I39" s="2" t="s">
        <v>17</v>
      </c>
      <c r="J39" s="2" t="s">
        <v>28</v>
      </c>
      <c r="K39" s="2">
        <v>6</v>
      </c>
      <c r="L39" s="2">
        <v>1861.79</v>
      </c>
      <c r="M39" s="2">
        <v>15</v>
      </c>
      <c r="N39" s="2" t="s">
        <v>26</v>
      </c>
      <c r="O39">
        <f t="shared" si="0"/>
        <v>11170.74</v>
      </c>
      <c r="P39">
        <f>O39-(O39*M39/100)</f>
        <v>9495.128999999999</v>
      </c>
    </row>
    <row r="40" spans="5:16" x14ac:dyDescent="0.25">
      <c r="E40" s="2">
        <v>10038</v>
      </c>
      <c r="F40" s="8">
        <v>45928</v>
      </c>
      <c r="G40" s="2" t="s">
        <v>32</v>
      </c>
      <c r="H40" s="2" t="s">
        <v>37</v>
      </c>
      <c r="I40" s="2" t="s">
        <v>40</v>
      </c>
      <c r="J40" s="2" t="s">
        <v>53</v>
      </c>
      <c r="K40" s="2">
        <v>5</v>
      </c>
      <c r="L40" s="2">
        <v>572.41</v>
      </c>
      <c r="M40" s="2">
        <v>20</v>
      </c>
      <c r="N40" s="2" t="s">
        <v>30</v>
      </c>
      <c r="O40">
        <f t="shared" si="0"/>
        <v>2862.0499999999997</v>
      </c>
      <c r="P40">
        <f>O40-(O40*M40/100)</f>
        <v>2289.64</v>
      </c>
    </row>
    <row r="41" spans="5:16" x14ac:dyDescent="0.25">
      <c r="E41" s="2">
        <v>10039</v>
      </c>
      <c r="F41" s="8">
        <v>45827</v>
      </c>
      <c r="G41" s="2" t="s">
        <v>15</v>
      </c>
      <c r="H41" s="2" t="s">
        <v>47</v>
      </c>
      <c r="I41" s="2" t="s">
        <v>40</v>
      </c>
      <c r="J41" s="2" t="s">
        <v>41</v>
      </c>
      <c r="K41" s="2">
        <v>20</v>
      </c>
      <c r="L41" s="2">
        <v>4485.22</v>
      </c>
      <c r="M41" s="2">
        <v>0</v>
      </c>
      <c r="N41" s="2" t="s">
        <v>30</v>
      </c>
      <c r="O41">
        <f t="shared" si="0"/>
        <v>89704.400000000009</v>
      </c>
      <c r="P41">
        <f>O41-(O41*M41/100)</f>
        <v>89704.400000000009</v>
      </c>
    </row>
    <row r="42" spans="5:16" x14ac:dyDescent="0.25">
      <c r="E42" s="2">
        <v>10040</v>
      </c>
      <c r="F42" s="8">
        <v>45829</v>
      </c>
      <c r="G42" s="2" t="s">
        <v>43</v>
      </c>
      <c r="H42" s="2" t="s">
        <v>11</v>
      </c>
      <c r="I42" s="2" t="s">
        <v>12</v>
      </c>
      <c r="J42" s="2" t="s">
        <v>33</v>
      </c>
      <c r="K42" s="2">
        <v>4</v>
      </c>
      <c r="L42" s="2">
        <v>1993.86</v>
      </c>
      <c r="M42" s="2">
        <v>10</v>
      </c>
      <c r="N42" s="2" t="s">
        <v>23</v>
      </c>
      <c r="O42">
        <f t="shared" si="0"/>
        <v>7975.44</v>
      </c>
      <c r="P42">
        <f>O42-(O42*M42/100)</f>
        <v>7177.8959999999997</v>
      </c>
    </row>
    <row r="43" spans="5:16" x14ac:dyDescent="0.25">
      <c r="E43" s="2">
        <v>10041</v>
      </c>
      <c r="F43" s="8">
        <v>45996</v>
      </c>
      <c r="G43" s="2" t="s">
        <v>48</v>
      </c>
      <c r="H43" s="2" t="s">
        <v>37</v>
      </c>
      <c r="I43" s="2" t="s">
        <v>40</v>
      </c>
      <c r="J43" s="2" t="s">
        <v>53</v>
      </c>
      <c r="K43" s="2">
        <v>9</v>
      </c>
      <c r="L43" s="2">
        <v>4037.39</v>
      </c>
      <c r="M43" s="2">
        <v>20</v>
      </c>
      <c r="N43" s="2" t="s">
        <v>26</v>
      </c>
      <c r="O43">
        <f t="shared" si="0"/>
        <v>36336.51</v>
      </c>
      <c r="P43">
        <f>O43-(O43*M43/100)</f>
        <v>29069.208000000002</v>
      </c>
    </row>
    <row r="44" spans="5:16" x14ac:dyDescent="0.25">
      <c r="E44" s="2">
        <v>10042</v>
      </c>
      <c r="F44" s="8">
        <v>45794</v>
      </c>
      <c r="G44" s="2" t="s">
        <v>31</v>
      </c>
      <c r="H44" s="2" t="s">
        <v>21</v>
      </c>
      <c r="I44" s="2" t="s">
        <v>34</v>
      </c>
      <c r="J44" s="2" t="s">
        <v>50</v>
      </c>
      <c r="K44" s="2">
        <v>14</v>
      </c>
      <c r="L44" s="2">
        <v>274.37</v>
      </c>
      <c r="M44" s="2">
        <v>0</v>
      </c>
      <c r="N44" s="2" t="s">
        <v>23</v>
      </c>
      <c r="O44">
        <f t="shared" si="0"/>
        <v>3841.1800000000003</v>
      </c>
      <c r="P44">
        <f>O44-(O44*M44/100)</f>
        <v>3841.1800000000003</v>
      </c>
    </row>
    <row r="45" spans="5:16" x14ac:dyDescent="0.25">
      <c r="E45" s="2">
        <v>10043</v>
      </c>
      <c r="F45" s="8">
        <v>46003</v>
      </c>
      <c r="G45" s="2" t="s">
        <v>10</v>
      </c>
      <c r="H45" s="2" t="s">
        <v>25</v>
      </c>
      <c r="I45" s="2" t="s">
        <v>34</v>
      </c>
      <c r="J45" s="2" t="s">
        <v>44</v>
      </c>
      <c r="K45" s="2">
        <v>9</v>
      </c>
      <c r="L45" s="2">
        <v>676.19</v>
      </c>
      <c r="M45" s="2">
        <v>20</v>
      </c>
      <c r="N45" s="2" t="s">
        <v>30</v>
      </c>
      <c r="O45">
        <f t="shared" si="0"/>
        <v>6085.7100000000009</v>
      </c>
      <c r="P45">
        <f>O45-(O45*M45/100)</f>
        <v>4868.5680000000011</v>
      </c>
    </row>
    <row r="46" spans="5:16" x14ac:dyDescent="0.25">
      <c r="E46" s="2">
        <v>10044</v>
      </c>
      <c r="F46" s="8">
        <v>45711</v>
      </c>
      <c r="G46" s="2" t="s">
        <v>27</v>
      </c>
      <c r="H46" s="2" t="s">
        <v>37</v>
      </c>
      <c r="I46" s="2" t="s">
        <v>17</v>
      </c>
      <c r="J46" s="2" t="s">
        <v>28</v>
      </c>
      <c r="K46" s="2">
        <v>4</v>
      </c>
      <c r="L46" s="2">
        <v>4588.93</v>
      </c>
      <c r="M46" s="2">
        <v>5</v>
      </c>
      <c r="N46" s="2" t="s">
        <v>26</v>
      </c>
      <c r="O46">
        <f t="shared" si="0"/>
        <v>18355.72</v>
      </c>
      <c r="P46">
        <f>O46-(O46*M46/100)</f>
        <v>17437.934000000001</v>
      </c>
    </row>
    <row r="47" spans="5:16" x14ac:dyDescent="0.25">
      <c r="E47" s="2">
        <v>10045</v>
      </c>
      <c r="F47" s="8">
        <v>45827</v>
      </c>
      <c r="G47" s="2" t="s">
        <v>42</v>
      </c>
      <c r="H47" s="2" t="s">
        <v>16</v>
      </c>
      <c r="I47" s="2" t="s">
        <v>12</v>
      </c>
      <c r="J47" s="2" t="s">
        <v>33</v>
      </c>
      <c r="K47" s="2">
        <v>2</v>
      </c>
      <c r="L47" s="2">
        <v>2343.98</v>
      </c>
      <c r="M47" s="2">
        <v>20</v>
      </c>
      <c r="N47" s="2" t="s">
        <v>23</v>
      </c>
      <c r="O47">
        <f t="shared" si="0"/>
        <v>4687.96</v>
      </c>
      <c r="P47">
        <f>O47-(O47*M47/100)</f>
        <v>3750.3679999999999</v>
      </c>
    </row>
    <row r="48" spans="5:16" x14ac:dyDescent="0.25">
      <c r="E48" s="2">
        <v>10046</v>
      </c>
      <c r="F48" s="8">
        <v>45889</v>
      </c>
      <c r="G48" s="2" t="s">
        <v>31</v>
      </c>
      <c r="H48" s="2" t="s">
        <v>29</v>
      </c>
      <c r="I48" s="2" t="s">
        <v>40</v>
      </c>
      <c r="J48" s="2" t="s">
        <v>41</v>
      </c>
      <c r="K48" s="2">
        <v>10</v>
      </c>
      <c r="L48" s="2">
        <v>1534.77</v>
      </c>
      <c r="M48" s="2">
        <v>15</v>
      </c>
      <c r="N48" s="2" t="s">
        <v>30</v>
      </c>
      <c r="O48">
        <f t="shared" si="0"/>
        <v>15347.7</v>
      </c>
      <c r="P48">
        <f>O48-(O48*M48/100)</f>
        <v>13045.545</v>
      </c>
    </row>
    <row r="49" spans="5:16" x14ac:dyDescent="0.25">
      <c r="E49" s="2">
        <v>10047</v>
      </c>
      <c r="F49" s="8">
        <v>45723</v>
      </c>
      <c r="G49" s="2" t="s">
        <v>27</v>
      </c>
      <c r="H49" s="2" t="s">
        <v>37</v>
      </c>
      <c r="I49" s="2" t="s">
        <v>34</v>
      </c>
      <c r="J49" s="2" t="s">
        <v>38</v>
      </c>
      <c r="K49" s="2">
        <v>8</v>
      </c>
      <c r="L49" s="2">
        <v>542.69000000000005</v>
      </c>
      <c r="M49" s="2">
        <v>15</v>
      </c>
      <c r="N49" s="2" t="s">
        <v>23</v>
      </c>
      <c r="O49">
        <f t="shared" si="0"/>
        <v>4341.5200000000004</v>
      </c>
      <c r="P49">
        <f>O49-(O49*M49/100)</f>
        <v>3690.2920000000004</v>
      </c>
    </row>
    <row r="50" spans="5:16" x14ac:dyDescent="0.25">
      <c r="E50" s="2">
        <v>10048</v>
      </c>
      <c r="F50" s="8">
        <v>45708</v>
      </c>
      <c r="G50" s="2" t="s">
        <v>48</v>
      </c>
      <c r="H50" s="2" t="s">
        <v>47</v>
      </c>
      <c r="I50" s="2" t="s">
        <v>12</v>
      </c>
      <c r="J50" s="2" t="s">
        <v>22</v>
      </c>
      <c r="K50" s="2">
        <v>10</v>
      </c>
      <c r="L50" s="2">
        <v>2706.3</v>
      </c>
      <c r="M50" s="2">
        <v>5</v>
      </c>
      <c r="N50" s="2" t="s">
        <v>26</v>
      </c>
      <c r="O50">
        <f t="shared" si="0"/>
        <v>27063</v>
      </c>
      <c r="P50">
        <f>O50-(O50*M50/100)</f>
        <v>25709.85</v>
      </c>
    </row>
    <row r="51" spans="5:16" x14ac:dyDescent="0.25">
      <c r="E51" s="2">
        <v>10049</v>
      </c>
      <c r="F51" s="8">
        <v>45757</v>
      </c>
      <c r="G51" s="2" t="s">
        <v>15</v>
      </c>
      <c r="H51" s="2" t="s">
        <v>52</v>
      </c>
      <c r="I51" s="2" t="s">
        <v>17</v>
      </c>
      <c r="J51" s="2" t="s">
        <v>28</v>
      </c>
      <c r="K51" s="2">
        <v>15</v>
      </c>
      <c r="L51" s="2">
        <v>2648.86</v>
      </c>
      <c r="M51" s="2">
        <v>5</v>
      </c>
      <c r="N51" s="2" t="s">
        <v>14</v>
      </c>
      <c r="O51">
        <f t="shared" si="0"/>
        <v>39732.9</v>
      </c>
      <c r="P51">
        <f>O51-(O51*M51/100)</f>
        <v>37746.255000000005</v>
      </c>
    </row>
    <row r="52" spans="5:16" x14ac:dyDescent="0.25">
      <c r="E52" s="2">
        <v>10050</v>
      </c>
      <c r="F52" s="8">
        <v>45775</v>
      </c>
      <c r="G52" s="2" t="s">
        <v>31</v>
      </c>
      <c r="H52" s="2" t="s">
        <v>25</v>
      </c>
      <c r="I52" s="2" t="s">
        <v>17</v>
      </c>
      <c r="J52" s="2" t="s">
        <v>28</v>
      </c>
      <c r="K52" s="2">
        <v>12</v>
      </c>
      <c r="L52" s="2">
        <v>1541.59</v>
      </c>
      <c r="M52" s="2">
        <v>0</v>
      </c>
      <c r="N52" s="2" t="s">
        <v>26</v>
      </c>
      <c r="O52">
        <f t="shared" si="0"/>
        <v>18499.079999999998</v>
      </c>
      <c r="P52">
        <f>O52-(O52*M52/100)</f>
        <v>18499.079999999998</v>
      </c>
    </row>
    <row r="53" spans="5:16" x14ac:dyDescent="0.25">
      <c r="E53" s="2">
        <v>10051</v>
      </c>
      <c r="F53" s="8">
        <v>45882</v>
      </c>
      <c r="G53" s="2" t="s">
        <v>39</v>
      </c>
      <c r="H53" s="2" t="s">
        <v>11</v>
      </c>
      <c r="I53" s="2" t="s">
        <v>40</v>
      </c>
      <c r="J53" s="2" t="s">
        <v>53</v>
      </c>
      <c r="K53" s="2">
        <v>11</v>
      </c>
      <c r="L53" s="2">
        <v>3051.48</v>
      </c>
      <c r="M53" s="2">
        <v>15</v>
      </c>
      <c r="N53" s="2" t="s">
        <v>30</v>
      </c>
      <c r="O53">
        <f t="shared" si="0"/>
        <v>33566.28</v>
      </c>
      <c r="P53">
        <f>O53-(O53*M53/100)</f>
        <v>28531.338</v>
      </c>
    </row>
    <row r="54" spans="5:16" x14ac:dyDescent="0.25">
      <c r="E54" s="2">
        <v>10052</v>
      </c>
      <c r="F54" s="8">
        <v>45861</v>
      </c>
      <c r="G54" s="2" t="s">
        <v>54</v>
      </c>
      <c r="H54" s="2" t="s">
        <v>11</v>
      </c>
      <c r="I54" s="2" t="s">
        <v>12</v>
      </c>
      <c r="J54" s="2" t="s">
        <v>22</v>
      </c>
      <c r="K54" s="2">
        <v>2</v>
      </c>
      <c r="L54" s="2">
        <v>3611.78</v>
      </c>
      <c r="M54" s="2">
        <v>15</v>
      </c>
      <c r="N54" s="2" t="s">
        <v>14</v>
      </c>
      <c r="O54">
        <f t="shared" si="0"/>
        <v>7223.56</v>
      </c>
      <c r="P54">
        <f>O54-(O54*M54/100)</f>
        <v>6140.0259999999998</v>
      </c>
    </row>
    <row r="55" spans="5:16" x14ac:dyDescent="0.25">
      <c r="E55" s="2">
        <v>10053</v>
      </c>
      <c r="F55" s="8">
        <v>45935</v>
      </c>
      <c r="G55" s="2" t="s">
        <v>54</v>
      </c>
      <c r="H55" s="2" t="s">
        <v>21</v>
      </c>
      <c r="I55" s="2" t="s">
        <v>17</v>
      </c>
      <c r="J55" s="2" t="s">
        <v>18</v>
      </c>
      <c r="K55" s="2">
        <v>15</v>
      </c>
      <c r="L55" s="2">
        <v>2589.92</v>
      </c>
      <c r="M55" s="2">
        <v>0</v>
      </c>
      <c r="N55" s="2" t="s">
        <v>23</v>
      </c>
      <c r="O55">
        <f t="shared" si="0"/>
        <v>38848.800000000003</v>
      </c>
      <c r="P55">
        <f>O55-(O55*M55/100)</f>
        <v>38848.800000000003</v>
      </c>
    </row>
    <row r="56" spans="5:16" x14ac:dyDescent="0.25">
      <c r="E56" s="2">
        <v>10054</v>
      </c>
      <c r="F56" s="8">
        <v>45868</v>
      </c>
      <c r="G56" s="2" t="s">
        <v>27</v>
      </c>
      <c r="H56" s="2" t="s">
        <v>51</v>
      </c>
      <c r="I56" s="2" t="s">
        <v>40</v>
      </c>
      <c r="J56" s="2" t="s">
        <v>41</v>
      </c>
      <c r="K56" s="2">
        <v>13</v>
      </c>
      <c r="L56" s="2">
        <v>2589.94</v>
      </c>
      <c r="M56" s="2">
        <v>0</v>
      </c>
      <c r="N56" s="2" t="s">
        <v>19</v>
      </c>
      <c r="O56">
        <f t="shared" si="0"/>
        <v>33669.22</v>
      </c>
      <c r="P56">
        <f>O56-(O56*M56/100)</f>
        <v>33669.22</v>
      </c>
    </row>
    <row r="57" spans="5:16" x14ac:dyDescent="0.25">
      <c r="E57" s="2">
        <v>10055</v>
      </c>
      <c r="F57" s="8">
        <v>45851</v>
      </c>
      <c r="G57" s="2" t="s">
        <v>43</v>
      </c>
      <c r="H57" s="2" t="s">
        <v>11</v>
      </c>
      <c r="I57" s="2" t="s">
        <v>34</v>
      </c>
      <c r="J57" s="2" t="s">
        <v>35</v>
      </c>
      <c r="K57" s="2">
        <v>12</v>
      </c>
      <c r="L57" s="2">
        <v>170.4</v>
      </c>
      <c r="M57" s="2">
        <v>10</v>
      </c>
      <c r="N57" s="2" t="s">
        <v>19</v>
      </c>
      <c r="O57">
        <f t="shared" si="0"/>
        <v>2044.8000000000002</v>
      </c>
      <c r="P57">
        <f>O57-(O57*M57/100)</f>
        <v>1840.3200000000002</v>
      </c>
    </row>
    <row r="58" spans="5:16" x14ac:dyDescent="0.25">
      <c r="E58" s="2">
        <v>10056</v>
      </c>
      <c r="F58" s="8">
        <v>45879</v>
      </c>
      <c r="G58" s="2" t="s">
        <v>42</v>
      </c>
      <c r="H58" s="2" t="s">
        <v>37</v>
      </c>
      <c r="I58" s="2" t="s">
        <v>40</v>
      </c>
      <c r="J58" s="2" t="s">
        <v>49</v>
      </c>
      <c r="K58" s="2">
        <v>14</v>
      </c>
      <c r="L58" s="2">
        <v>2075.6799999999998</v>
      </c>
      <c r="M58" s="2">
        <v>20</v>
      </c>
      <c r="N58" s="2" t="s">
        <v>30</v>
      </c>
      <c r="O58">
        <f t="shared" si="0"/>
        <v>29059.519999999997</v>
      </c>
      <c r="P58">
        <f>O58-(O58*M58/100)</f>
        <v>23247.615999999998</v>
      </c>
    </row>
    <row r="59" spans="5:16" x14ac:dyDescent="0.25">
      <c r="E59" s="2">
        <v>10057</v>
      </c>
      <c r="F59" s="8">
        <v>45891</v>
      </c>
      <c r="G59" s="2" t="s">
        <v>54</v>
      </c>
      <c r="H59" s="2" t="s">
        <v>45</v>
      </c>
      <c r="I59" s="2" t="s">
        <v>17</v>
      </c>
      <c r="J59" s="2" t="s">
        <v>55</v>
      </c>
      <c r="K59" s="2">
        <v>10</v>
      </c>
      <c r="L59" s="2">
        <v>4128.8100000000004</v>
      </c>
      <c r="M59" s="2">
        <v>20</v>
      </c>
      <c r="N59" s="2" t="s">
        <v>19</v>
      </c>
      <c r="O59">
        <f t="shared" si="0"/>
        <v>41288.100000000006</v>
      </c>
      <c r="P59">
        <f>O59-(O59*M59/100)</f>
        <v>33030.480000000003</v>
      </c>
    </row>
    <row r="60" spans="5:16" x14ac:dyDescent="0.25">
      <c r="E60" s="2">
        <v>10058</v>
      </c>
      <c r="F60" s="8">
        <v>45994</v>
      </c>
      <c r="G60" s="2" t="s">
        <v>24</v>
      </c>
      <c r="H60" s="2" t="s">
        <v>16</v>
      </c>
      <c r="I60" s="2" t="s">
        <v>12</v>
      </c>
      <c r="J60" s="2" t="s">
        <v>22</v>
      </c>
      <c r="K60" s="2">
        <v>19</v>
      </c>
      <c r="L60" s="2">
        <v>4232.67</v>
      </c>
      <c r="M60" s="2">
        <v>10</v>
      </c>
      <c r="N60" s="2" t="s">
        <v>26</v>
      </c>
      <c r="O60">
        <f t="shared" si="0"/>
        <v>80420.73</v>
      </c>
      <c r="P60">
        <f>O60-(O60*M60/100)</f>
        <v>72378.656999999992</v>
      </c>
    </row>
    <row r="61" spans="5:16" x14ac:dyDescent="0.25">
      <c r="E61" s="2">
        <v>10059</v>
      </c>
      <c r="F61" s="8">
        <v>45831</v>
      </c>
      <c r="G61" s="2" t="s">
        <v>54</v>
      </c>
      <c r="H61" s="2" t="s">
        <v>29</v>
      </c>
      <c r="I61" s="2" t="s">
        <v>34</v>
      </c>
      <c r="J61" s="2" t="s">
        <v>50</v>
      </c>
      <c r="K61" s="2">
        <v>12</v>
      </c>
      <c r="L61" s="2">
        <v>4662.53</v>
      </c>
      <c r="M61" s="2">
        <v>0</v>
      </c>
      <c r="N61" s="2" t="s">
        <v>14</v>
      </c>
      <c r="O61">
        <f t="shared" si="0"/>
        <v>55950.36</v>
      </c>
      <c r="P61">
        <f>O61-(O61*M61/100)</f>
        <v>55950.36</v>
      </c>
    </row>
    <row r="62" spans="5:16" x14ac:dyDescent="0.25">
      <c r="E62" s="2">
        <v>10060</v>
      </c>
      <c r="F62" s="8">
        <v>45685</v>
      </c>
      <c r="G62" s="2" t="s">
        <v>48</v>
      </c>
      <c r="H62" s="2" t="s">
        <v>51</v>
      </c>
      <c r="I62" s="2" t="s">
        <v>17</v>
      </c>
      <c r="J62" s="2" t="s">
        <v>55</v>
      </c>
      <c r="K62" s="2">
        <v>20</v>
      </c>
      <c r="L62" s="2">
        <v>869.66</v>
      </c>
      <c r="M62" s="2">
        <v>0</v>
      </c>
      <c r="N62" s="2" t="s">
        <v>19</v>
      </c>
      <c r="O62">
        <f t="shared" si="0"/>
        <v>17393.2</v>
      </c>
      <c r="P62">
        <f>O62-(O62*M62/100)</f>
        <v>17393.2</v>
      </c>
    </row>
    <row r="63" spans="5:16" x14ac:dyDescent="0.25">
      <c r="E63" s="2">
        <v>10061</v>
      </c>
      <c r="F63" s="8">
        <v>45934</v>
      </c>
      <c r="G63" s="2" t="s">
        <v>48</v>
      </c>
      <c r="H63" s="2" t="s">
        <v>37</v>
      </c>
      <c r="I63" s="2" t="s">
        <v>17</v>
      </c>
      <c r="J63" s="2" t="s">
        <v>18</v>
      </c>
      <c r="K63" s="2">
        <v>17</v>
      </c>
      <c r="L63" s="2">
        <v>3611.8</v>
      </c>
      <c r="M63" s="2">
        <v>15</v>
      </c>
      <c r="N63" s="2" t="s">
        <v>26</v>
      </c>
      <c r="O63">
        <f t="shared" si="0"/>
        <v>61400.600000000006</v>
      </c>
      <c r="P63">
        <f>O63-(O63*M63/100)</f>
        <v>52190.51</v>
      </c>
    </row>
    <row r="64" spans="5:16" x14ac:dyDescent="0.25">
      <c r="E64" s="2">
        <v>10062</v>
      </c>
      <c r="F64" s="8">
        <v>45756</v>
      </c>
      <c r="G64" s="2" t="s">
        <v>31</v>
      </c>
      <c r="H64" s="2" t="s">
        <v>25</v>
      </c>
      <c r="I64" s="2" t="s">
        <v>17</v>
      </c>
      <c r="J64" s="2" t="s">
        <v>18</v>
      </c>
      <c r="K64" s="2">
        <v>18</v>
      </c>
      <c r="L64" s="2">
        <v>2392.34</v>
      </c>
      <c r="M64" s="2">
        <v>5</v>
      </c>
      <c r="N64" s="2" t="s">
        <v>23</v>
      </c>
      <c r="O64">
        <f t="shared" si="0"/>
        <v>43062.12</v>
      </c>
      <c r="P64">
        <f>O64-(O64*M64/100)</f>
        <v>40909.014000000003</v>
      </c>
    </row>
    <row r="65" spans="5:16" x14ac:dyDescent="0.25">
      <c r="E65" s="2">
        <v>10063</v>
      </c>
      <c r="F65" s="8">
        <v>45920</v>
      </c>
      <c r="G65" s="2" t="s">
        <v>43</v>
      </c>
      <c r="H65" s="2" t="s">
        <v>45</v>
      </c>
      <c r="I65" s="2" t="s">
        <v>12</v>
      </c>
      <c r="J65" s="2" t="s">
        <v>22</v>
      </c>
      <c r="K65" s="2">
        <v>16</v>
      </c>
      <c r="L65" s="2">
        <v>2111.33</v>
      </c>
      <c r="M65" s="2">
        <v>10</v>
      </c>
      <c r="N65" s="2" t="s">
        <v>30</v>
      </c>
      <c r="O65">
        <f t="shared" si="0"/>
        <v>33781.279999999999</v>
      </c>
      <c r="P65">
        <f>O65-(O65*M65/100)</f>
        <v>30403.151999999998</v>
      </c>
    </row>
    <row r="66" spans="5:16" x14ac:dyDescent="0.25">
      <c r="E66" s="2">
        <v>10064</v>
      </c>
      <c r="F66" s="8">
        <v>45688</v>
      </c>
      <c r="G66" s="2" t="s">
        <v>27</v>
      </c>
      <c r="H66" s="2" t="s">
        <v>29</v>
      </c>
      <c r="I66" s="2" t="s">
        <v>17</v>
      </c>
      <c r="J66" s="2" t="s">
        <v>55</v>
      </c>
      <c r="K66" s="2">
        <v>7</v>
      </c>
      <c r="L66" s="2">
        <v>938.38</v>
      </c>
      <c r="M66" s="2">
        <v>20</v>
      </c>
      <c r="N66" s="2" t="s">
        <v>23</v>
      </c>
      <c r="O66">
        <f t="shared" si="0"/>
        <v>6568.66</v>
      </c>
      <c r="P66">
        <f>O66-(O66*M66/100)</f>
        <v>5254.9279999999999</v>
      </c>
    </row>
    <row r="67" spans="5:16" x14ac:dyDescent="0.25">
      <c r="E67" s="2">
        <v>10065</v>
      </c>
      <c r="F67" s="8">
        <v>45924</v>
      </c>
      <c r="G67" s="2" t="s">
        <v>32</v>
      </c>
      <c r="H67" s="2" t="s">
        <v>37</v>
      </c>
      <c r="I67" s="2" t="s">
        <v>12</v>
      </c>
      <c r="J67" s="2" t="s">
        <v>22</v>
      </c>
      <c r="K67" s="2">
        <v>17</v>
      </c>
      <c r="L67" s="2">
        <v>4449.18</v>
      </c>
      <c r="M67" s="2">
        <v>0</v>
      </c>
      <c r="N67" s="2" t="s">
        <v>30</v>
      </c>
      <c r="O67">
        <f t="shared" si="0"/>
        <v>75636.06</v>
      </c>
      <c r="P67">
        <f>O67-(O67*M67/100)</f>
        <v>75636.06</v>
      </c>
    </row>
    <row r="68" spans="5:16" x14ac:dyDescent="0.25">
      <c r="E68" s="2">
        <v>10066</v>
      </c>
      <c r="F68" s="8">
        <v>45743</v>
      </c>
      <c r="G68" s="2" t="s">
        <v>42</v>
      </c>
      <c r="H68" s="2" t="s">
        <v>16</v>
      </c>
      <c r="I68" s="2" t="s">
        <v>12</v>
      </c>
      <c r="J68" s="2" t="s">
        <v>22</v>
      </c>
      <c r="K68" s="2">
        <v>5</v>
      </c>
      <c r="L68" s="2">
        <v>1209.05</v>
      </c>
      <c r="M68" s="2">
        <v>5</v>
      </c>
      <c r="N68" s="2" t="s">
        <v>30</v>
      </c>
      <c r="O68">
        <f t="shared" ref="O68:O131" si="1">K68*L68</f>
        <v>6045.25</v>
      </c>
      <c r="P68">
        <f>O68-(O68*M68/100)</f>
        <v>5742.9875000000002</v>
      </c>
    </row>
    <row r="69" spans="5:16" x14ac:dyDescent="0.25">
      <c r="E69" s="2">
        <v>10067</v>
      </c>
      <c r="F69" s="8">
        <v>45933</v>
      </c>
      <c r="G69" s="2" t="s">
        <v>10</v>
      </c>
      <c r="H69" s="2" t="s">
        <v>37</v>
      </c>
      <c r="I69" s="2" t="s">
        <v>12</v>
      </c>
      <c r="J69" s="2" t="s">
        <v>22</v>
      </c>
      <c r="K69" s="2">
        <v>19</v>
      </c>
      <c r="L69" s="2">
        <v>900.11</v>
      </c>
      <c r="M69" s="2">
        <v>10</v>
      </c>
      <c r="N69" s="2" t="s">
        <v>23</v>
      </c>
      <c r="O69">
        <f t="shared" si="1"/>
        <v>17102.09</v>
      </c>
      <c r="P69">
        <f>O69-(O69*M69/100)</f>
        <v>15391.881000000001</v>
      </c>
    </row>
    <row r="70" spans="5:16" x14ac:dyDescent="0.25">
      <c r="E70" s="2">
        <v>10068</v>
      </c>
      <c r="F70" s="8">
        <v>45695</v>
      </c>
      <c r="G70" s="2" t="s">
        <v>20</v>
      </c>
      <c r="H70" s="2" t="s">
        <v>52</v>
      </c>
      <c r="I70" s="2" t="s">
        <v>34</v>
      </c>
      <c r="J70" s="2" t="s">
        <v>50</v>
      </c>
      <c r="K70" s="2">
        <v>13</v>
      </c>
      <c r="L70" s="2">
        <v>4048.21</v>
      </c>
      <c r="M70" s="2">
        <v>15</v>
      </c>
      <c r="N70" s="2" t="s">
        <v>14</v>
      </c>
      <c r="O70">
        <f t="shared" si="1"/>
        <v>52626.73</v>
      </c>
      <c r="P70">
        <f>O70-(O70*M70/100)</f>
        <v>44732.720500000003</v>
      </c>
    </row>
    <row r="71" spans="5:16" x14ac:dyDescent="0.25">
      <c r="E71" s="2">
        <v>10069</v>
      </c>
      <c r="F71" s="8">
        <v>46018</v>
      </c>
      <c r="G71" s="2" t="s">
        <v>10</v>
      </c>
      <c r="H71" s="2" t="s">
        <v>47</v>
      </c>
      <c r="I71" s="2" t="s">
        <v>34</v>
      </c>
      <c r="J71" s="2" t="s">
        <v>35</v>
      </c>
      <c r="K71" s="2">
        <v>1</v>
      </c>
      <c r="L71" s="2">
        <v>4884.6000000000004</v>
      </c>
      <c r="M71" s="2">
        <v>0</v>
      </c>
      <c r="N71" s="2" t="s">
        <v>23</v>
      </c>
      <c r="O71">
        <f t="shared" si="1"/>
        <v>4884.6000000000004</v>
      </c>
      <c r="P71">
        <f>O71-(O71*M71/100)</f>
        <v>4884.6000000000004</v>
      </c>
    </row>
    <row r="72" spans="5:16" x14ac:dyDescent="0.25">
      <c r="E72" s="2">
        <v>10070</v>
      </c>
      <c r="F72" s="8">
        <v>46009</v>
      </c>
      <c r="G72" s="2" t="s">
        <v>20</v>
      </c>
      <c r="H72" s="2" t="s">
        <v>29</v>
      </c>
      <c r="I72" s="2" t="s">
        <v>17</v>
      </c>
      <c r="J72" s="2" t="s">
        <v>18</v>
      </c>
      <c r="K72" s="2">
        <v>14</v>
      </c>
      <c r="L72" s="2">
        <v>1720.3</v>
      </c>
      <c r="M72" s="2">
        <v>0</v>
      </c>
      <c r="N72" s="2" t="s">
        <v>30</v>
      </c>
      <c r="O72">
        <f t="shared" si="1"/>
        <v>24084.2</v>
      </c>
      <c r="P72">
        <f>O72-(O72*M72/100)</f>
        <v>24084.2</v>
      </c>
    </row>
    <row r="73" spans="5:16" x14ac:dyDescent="0.25">
      <c r="E73" s="2">
        <v>10071</v>
      </c>
      <c r="F73" s="8">
        <v>46016</v>
      </c>
      <c r="G73" s="2" t="s">
        <v>43</v>
      </c>
      <c r="H73" s="2" t="s">
        <v>21</v>
      </c>
      <c r="I73" s="2" t="s">
        <v>12</v>
      </c>
      <c r="J73" s="2" t="s">
        <v>56</v>
      </c>
      <c r="K73" s="2">
        <v>14</v>
      </c>
      <c r="L73" s="2">
        <v>2083.37</v>
      </c>
      <c r="M73" s="2">
        <v>15</v>
      </c>
      <c r="N73" s="2" t="s">
        <v>26</v>
      </c>
      <c r="O73">
        <f t="shared" si="1"/>
        <v>29167.18</v>
      </c>
      <c r="P73">
        <f>O73-(O73*M73/100)</f>
        <v>24792.102999999999</v>
      </c>
    </row>
    <row r="74" spans="5:16" x14ac:dyDescent="0.25">
      <c r="E74" s="2">
        <v>10072</v>
      </c>
      <c r="F74" s="8">
        <v>45994</v>
      </c>
      <c r="G74" s="2" t="s">
        <v>54</v>
      </c>
      <c r="H74" s="2" t="s">
        <v>51</v>
      </c>
      <c r="I74" s="2" t="s">
        <v>34</v>
      </c>
      <c r="J74" s="2" t="s">
        <v>50</v>
      </c>
      <c r="K74" s="2">
        <v>19</v>
      </c>
      <c r="L74" s="2">
        <v>3358.24</v>
      </c>
      <c r="M74" s="2">
        <v>20</v>
      </c>
      <c r="N74" s="2" t="s">
        <v>19</v>
      </c>
      <c r="O74">
        <f t="shared" si="1"/>
        <v>63806.559999999998</v>
      </c>
      <c r="P74">
        <f>O74-(O74*M74/100)</f>
        <v>51045.248</v>
      </c>
    </row>
    <row r="75" spans="5:16" x14ac:dyDescent="0.25">
      <c r="E75" s="2">
        <v>10073</v>
      </c>
      <c r="F75" s="8">
        <v>45713</v>
      </c>
      <c r="G75" s="2" t="s">
        <v>24</v>
      </c>
      <c r="H75" s="2" t="s">
        <v>45</v>
      </c>
      <c r="I75" s="2" t="s">
        <v>12</v>
      </c>
      <c r="J75" s="2" t="s">
        <v>22</v>
      </c>
      <c r="K75" s="2">
        <v>12</v>
      </c>
      <c r="L75" s="2">
        <v>3007.31</v>
      </c>
      <c r="M75" s="2">
        <v>5</v>
      </c>
      <c r="N75" s="2" t="s">
        <v>26</v>
      </c>
      <c r="O75">
        <f t="shared" si="1"/>
        <v>36087.72</v>
      </c>
      <c r="P75">
        <f>O75-(O75*M75/100)</f>
        <v>34283.334000000003</v>
      </c>
    </row>
    <row r="76" spans="5:16" x14ac:dyDescent="0.25">
      <c r="E76" s="2">
        <v>10074</v>
      </c>
      <c r="F76" s="8">
        <v>45956</v>
      </c>
      <c r="G76" s="2" t="s">
        <v>48</v>
      </c>
      <c r="H76" s="2" t="s">
        <v>51</v>
      </c>
      <c r="I76" s="2" t="s">
        <v>34</v>
      </c>
      <c r="J76" s="2" t="s">
        <v>38</v>
      </c>
      <c r="K76" s="2">
        <v>14</v>
      </c>
      <c r="L76" s="2">
        <v>3121.47</v>
      </c>
      <c r="M76" s="2">
        <v>15</v>
      </c>
      <c r="N76" s="2" t="s">
        <v>14</v>
      </c>
      <c r="O76">
        <f t="shared" si="1"/>
        <v>43700.579999999994</v>
      </c>
      <c r="P76">
        <f>O76-(O76*M76/100)</f>
        <v>37145.492999999995</v>
      </c>
    </row>
    <row r="77" spans="5:16" x14ac:dyDescent="0.25">
      <c r="E77" s="2">
        <v>10075</v>
      </c>
      <c r="F77" s="8">
        <v>45762</v>
      </c>
      <c r="G77" s="2" t="s">
        <v>32</v>
      </c>
      <c r="H77" s="2" t="s">
        <v>47</v>
      </c>
      <c r="I77" s="2" t="s">
        <v>40</v>
      </c>
      <c r="J77" s="2" t="s">
        <v>46</v>
      </c>
      <c r="K77" s="2">
        <v>15</v>
      </c>
      <c r="L77" s="2">
        <v>1613.45</v>
      </c>
      <c r="M77" s="2">
        <v>0</v>
      </c>
      <c r="N77" s="2" t="s">
        <v>26</v>
      </c>
      <c r="O77">
        <f t="shared" si="1"/>
        <v>24201.75</v>
      </c>
      <c r="P77">
        <f>O77-(O77*M77/100)</f>
        <v>24201.75</v>
      </c>
    </row>
    <row r="78" spans="5:16" x14ac:dyDescent="0.25">
      <c r="E78" s="2">
        <v>10076</v>
      </c>
      <c r="F78" s="8">
        <v>45730</v>
      </c>
      <c r="G78" s="2" t="s">
        <v>24</v>
      </c>
      <c r="H78" s="2" t="s">
        <v>37</v>
      </c>
      <c r="I78" s="2" t="s">
        <v>34</v>
      </c>
      <c r="J78" s="2" t="s">
        <v>50</v>
      </c>
      <c r="K78" s="2">
        <v>14</v>
      </c>
      <c r="L78" s="2">
        <v>2260.96</v>
      </c>
      <c r="M78" s="2">
        <v>15</v>
      </c>
      <c r="N78" s="2" t="s">
        <v>14</v>
      </c>
      <c r="O78">
        <f t="shared" si="1"/>
        <v>31653.440000000002</v>
      </c>
      <c r="P78">
        <f>O78-(O78*M78/100)</f>
        <v>26905.424000000003</v>
      </c>
    </row>
    <row r="79" spans="5:16" x14ac:dyDescent="0.25">
      <c r="E79" s="2">
        <v>10077</v>
      </c>
      <c r="F79" s="8">
        <v>45900</v>
      </c>
      <c r="G79" s="2" t="s">
        <v>24</v>
      </c>
      <c r="H79" s="2" t="s">
        <v>29</v>
      </c>
      <c r="I79" s="2" t="s">
        <v>12</v>
      </c>
      <c r="J79" s="2" t="s">
        <v>33</v>
      </c>
      <c r="K79" s="2">
        <v>12</v>
      </c>
      <c r="L79" s="2">
        <v>470.29</v>
      </c>
      <c r="M79" s="2">
        <v>5</v>
      </c>
      <c r="N79" s="2" t="s">
        <v>23</v>
      </c>
      <c r="O79">
        <f t="shared" si="1"/>
        <v>5643.4800000000005</v>
      </c>
      <c r="P79">
        <f>O79-(O79*M79/100)</f>
        <v>5361.3060000000005</v>
      </c>
    </row>
    <row r="80" spans="5:16" x14ac:dyDescent="0.25">
      <c r="E80" s="2">
        <v>10078</v>
      </c>
      <c r="F80" s="8">
        <v>45714</v>
      </c>
      <c r="G80" s="2" t="s">
        <v>15</v>
      </c>
      <c r="H80" s="2" t="s">
        <v>16</v>
      </c>
      <c r="I80" s="2" t="s">
        <v>12</v>
      </c>
      <c r="J80" s="2" t="s">
        <v>33</v>
      </c>
      <c r="K80" s="2">
        <v>11</v>
      </c>
      <c r="L80" s="2">
        <v>3478.14</v>
      </c>
      <c r="M80" s="2">
        <v>5</v>
      </c>
      <c r="N80" s="2" t="s">
        <v>14</v>
      </c>
      <c r="O80">
        <f t="shared" si="1"/>
        <v>38259.54</v>
      </c>
      <c r="P80">
        <f>O80-(O80*M80/100)</f>
        <v>36346.563000000002</v>
      </c>
    </row>
    <row r="81" spans="5:16" x14ac:dyDescent="0.25">
      <c r="E81" s="2">
        <v>10079</v>
      </c>
      <c r="F81" s="8">
        <v>46003</v>
      </c>
      <c r="G81" s="2" t="s">
        <v>20</v>
      </c>
      <c r="H81" s="2" t="s">
        <v>52</v>
      </c>
      <c r="I81" s="2" t="s">
        <v>34</v>
      </c>
      <c r="J81" s="2" t="s">
        <v>50</v>
      </c>
      <c r="K81" s="2">
        <v>19</v>
      </c>
      <c r="L81" s="2">
        <v>240.9</v>
      </c>
      <c r="M81" s="2">
        <v>5</v>
      </c>
      <c r="N81" s="2" t="s">
        <v>14</v>
      </c>
      <c r="O81">
        <f t="shared" si="1"/>
        <v>4577.1000000000004</v>
      </c>
      <c r="P81">
        <f>O81-(O81*M81/100)</f>
        <v>4348.2450000000008</v>
      </c>
    </row>
    <row r="82" spans="5:16" x14ac:dyDescent="0.25">
      <c r="E82" s="2">
        <v>10080</v>
      </c>
      <c r="F82" s="8">
        <v>45743</v>
      </c>
      <c r="G82" s="2" t="s">
        <v>43</v>
      </c>
      <c r="H82" s="2" t="s">
        <v>52</v>
      </c>
      <c r="I82" s="2" t="s">
        <v>40</v>
      </c>
      <c r="J82" s="2" t="s">
        <v>41</v>
      </c>
      <c r="K82" s="2">
        <v>3</v>
      </c>
      <c r="L82" s="2">
        <v>1240.44</v>
      </c>
      <c r="M82" s="2">
        <v>0</v>
      </c>
      <c r="N82" s="2" t="s">
        <v>30</v>
      </c>
      <c r="O82">
        <f t="shared" si="1"/>
        <v>3721.32</v>
      </c>
      <c r="P82">
        <f>O82-(O82*M82/100)</f>
        <v>3721.32</v>
      </c>
    </row>
    <row r="83" spans="5:16" x14ac:dyDescent="0.25">
      <c r="E83" s="2">
        <v>10081</v>
      </c>
      <c r="F83" s="8">
        <v>46015</v>
      </c>
      <c r="G83" s="2" t="s">
        <v>31</v>
      </c>
      <c r="H83" s="2" t="s">
        <v>37</v>
      </c>
      <c r="I83" s="2" t="s">
        <v>17</v>
      </c>
      <c r="J83" s="2" t="s">
        <v>36</v>
      </c>
      <c r="K83" s="2">
        <v>16</v>
      </c>
      <c r="L83" s="2">
        <v>3466.49</v>
      </c>
      <c r="M83" s="2">
        <v>15</v>
      </c>
      <c r="N83" s="2" t="s">
        <v>23</v>
      </c>
      <c r="O83">
        <f t="shared" si="1"/>
        <v>55463.839999999997</v>
      </c>
      <c r="P83">
        <f>O83-(O83*M83/100)</f>
        <v>47144.263999999996</v>
      </c>
    </row>
    <row r="84" spans="5:16" x14ac:dyDescent="0.25">
      <c r="E84" s="2">
        <v>10082</v>
      </c>
      <c r="F84" s="8">
        <v>45998</v>
      </c>
      <c r="G84" s="2" t="s">
        <v>48</v>
      </c>
      <c r="H84" s="2" t="s">
        <v>37</v>
      </c>
      <c r="I84" s="2" t="s">
        <v>17</v>
      </c>
      <c r="J84" s="2" t="s">
        <v>18</v>
      </c>
      <c r="K84" s="2">
        <v>6</v>
      </c>
      <c r="L84" s="2">
        <v>2915.15</v>
      </c>
      <c r="M84" s="2">
        <v>0</v>
      </c>
      <c r="N84" s="2" t="s">
        <v>19</v>
      </c>
      <c r="O84">
        <f t="shared" si="1"/>
        <v>17490.900000000001</v>
      </c>
      <c r="P84">
        <f>O84-(O84*M84/100)</f>
        <v>17490.900000000001</v>
      </c>
    </row>
    <row r="85" spans="5:16" x14ac:dyDescent="0.25">
      <c r="E85" s="2">
        <v>10083</v>
      </c>
      <c r="F85" s="8">
        <v>45739</v>
      </c>
      <c r="G85" s="2" t="s">
        <v>15</v>
      </c>
      <c r="H85" s="2" t="s">
        <v>29</v>
      </c>
      <c r="I85" s="2" t="s">
        <v>17</v>
      </c>
      <c r="J85" s="2" t="s">
        <v>55</v>
      </c>
      <c r="K85" s="2">
        <v>3</v>
      </c>
      <c r="L85" s="2">
        <v>1602.24</v>
      </c>
      <c r="M85" s="2">
        <v>5</v>
      </c>
      <c r="N85" s="2" t="s">
        <v>23</v>
      </c>
      <c r="O85">
        <f t="shared" si="1"/>
        <v>4806.72</v>
      </c>
      <c r="P85">
        <f>O85-(O85*M85/100)</f>
        <v>4566.384</v>
      </c>
    </row>
    <row r="86" spans="5:16" x14ac:dyDescent="0.25">
      <c r="E86" s="2">
        <v>10084</v>
      </c>
      <c r="F86" s="8">
        <v>45712</v>
      </c>
      <c r="G86" s="2" t="s">
        <v>24</v>
      </c>
      <c r="H86" s="2" t="s">
        <v>52</v>
      </c>
      <c r="I86" s="2" t="s">
        <v>40</v>
      </c>
      <c r="J86" s="2" t="s">
        <v>53</v>
      </c>
      <c r="K86" s="2">
        <v>4</v>
      </c>
      <c r="L86" s="2">
        <v>3464.11</v>
      </c>
      <c r="M86" s="2">
        <v>15</v>
      </c>
      <c r="N86" s="2" t="s">
        <v>14</v>
      </c>
      <c r="O86">
        <f t="shared" si="1"/>
        <v>13856.44</v>
      </c>
      <c r="P86">
        <f>O86-(O86*M86/100)</f>
        <v>11777.974</v>
      </c>
    </row>
    <row r="87" spans="5:16" x14ac:dyDescent="0.25">
      <c r="E87" s="2">
        <v>10085</v>
      </c>
      <c r="F87" s="8">
        <v>45710</v>
      </c>
      <c r="G87" s="2" t="s">
        <v>54</v>
      </c>
      <c r="H87" s="2" t="s">
        <v>37</v>
      </c>
      <c r="I87" s="2" t="s">
        <v>40</v>
      </c>
      <c r="J87" s="2" t="s">
        <v>41</v>
      </c>
      <c r="K87" s="2">
        <v>5</v>
      </c>
      <c r="L87" s="2">
        <v>4550.18</v>
      </c>
      <c r="M87" s="2">
        <v>0</v>
      </c>
      <c r="N87" s="2" t="s">
        <v>23</v>
      </c>
      <c r="O87">
        <f t="shared" si="1"/>
        <v>22750.9</v>
      </c>
      <c r="P87">
        <f>O87-(O87*M87/100)</f>
        <v>22750.9</v>
      </c>
    </row>
    <row r="88" spans="5:16" x14ac:dyDescent="0.25">
      <c r="E88" s="2">
        <v>10086</v>
      </c>
      <c r="F88" s="8">
        <v>45847</v>
      </c>
      <c r="G88" s="2" t="s">
        <v>31</v>
      </c>
      <c r="H88" s="2" t="s">
        <v>37</v>
      </c>
      <c r="I88" s="2" t="s">
        <v>34</v>
      </c>
      <c r="J88" s="2" t="s">
        <v>44</v>
      </c>
      <c r="K88" s="2">
        <v>19</v>
      </c>
      <c r="L88" s="2">
        <v>766.59</v>
      </c>
      <c r="M88" s="2">
        <v>15</v>
      </c>
      <c r="N88" s="2" t="s">
        <v>19</v>
      </c>
      <c r="O88">
        <f t="shared" si="1"/>
        <v>14565.210000000001</v>
      </c>
      <c r="P88">
        <f>O88-(O88*M88/100)</f>
        <v>12380.428500000002</v>
      </c>
    </row>
    <row r="89" spans="5:16" x14ac:dyDescent="0.25">
      <c r="E89" s="2">
        <v>10087</v>
      </c>
      <c r="F89" s="8">
        <v>45937</v>
      </c>
      <c r="G89" s="2" t="s">
        <v>15</v>
      </c>
      <c r="H89" s="2" t="s">
        <v>25</v>
      </c>
      <c r="I89" s="2" t="s">
        <v>40</v>
      </c>
      <c r="J89" s="2" t="s">
        <v>53</v>
      </c>
      <c r="K89" s="2">
        <v>6</v>
      </c>
      <c r="L89" s="2">
        <v>4110.67</v>
      </c>
      <c r="M89" s="2">
        <v>10</v>
      </c>
      <c r="N89" s="2" t="s">
        <v>23</v>
      </c>
      <c r="O89">
        <f t="shared" si="1"/>
        <v>24664.02</v>
      </c>
      <c r="P89">
        <f>O89-(O89*M89/100)</f>
        <v>22197.618000000002</v>
      </c>
    </row>
    <row r="90" spans="5:16" x14ac:dyDescent="0.25">
      <c r="E90" s="2">
        <v>10088</v>
      </c>
      <c r="F90" s="8">
        <v>45690</v>
      </c>
      <c r="G90" s="2" t="s">
        <v>20</v>
      </c>
      <c r="H90" s="2" t="s">
        <v>29</v>
      </c>
      <c r="I90" s="2" t="s">
        <v>17</v>
      </c>
      <c r="J90" s="2" t="s">
        <v>36</v>
      </c>
      <c r="K90" s="2">
        <v>3</v>
      </c>
      <c r="L90" s="2">
        <v>105.46</v>
      </c>
      <c r="M90" s="2">
        <v>5</v>
      </c>
      <c r="N90" s="2" t="s">
        <v>19</v>
      </c>
      <c r="O90">
        <f t="shared" si="1"/>
        <v>316.38</v>
      </c>
      <c r="P90">
        <f>O90-(O90*M90/100)</f>
        <v>300.56099999999998</v>
      </c>
    </row>
    <row r="91" spans="5:16" x14ac:dyDescent="0.25">
      <c r="E91" s="2">
        <v>10089</v>
      </c>
      <c r="F91" s="8">
        <v>45754</v>
      </c>
      <c r="G91" s="2" t="s">
        <v>43</v>
      </c>
      <c r="H91" s="2" t="s">
        <v>21</v>
      </c>
      <c r="I91" s="2" t="s">
        <v>17</v>
      </c>
      <c r="J91" s="2" t="s">
        <v>28</v>
      </c>
      <c r="K91" s="2">
        <v>5</v>
      </c>
      <c r="L91" s="2">
        <v>2378.4499999999998</v>
      </c>
      <c r="M91" s="2">
        <v>20</v>
      </c>
      <c r="N91" s="2" t="s">
        <v>14</v>
      </c>
      <c r="O91">
        <f t="shared" si="1"/>
        <v>11892.25</v>
      </c>
      <c r="P91">
        <f>O91-(O91*M91/100)</f>
        <v>9513.7999999999993</v>
      </c>
    </row>
    <row r="92" spans="5:16" x14ac:dyDescent="0.25">
      <c r="E92" s="2">
        <v>10090</v>
      </c>
      <c r="F92" s="8">
        <v>45878</v>
      </c>
      <c r="G92" s="2" t="s">
        <v>42</v>
      </c>
      <c r="H92" s="2" t="s">
        <v>25</v>
      </c>
      <c r="I92" s="2" t="s">
        <v>17</v>
      </c>
      <c r="J92" s="2" t="s">
        <v>18</v>
      </c>
      <c r="K92" s="2">
        <v>11</v>
      </c>
      <c r="L92" s="2">
        <v>666.46</v>
      </c>
      <c r="M92" s="2">
        <v>20</v>
      </c>
      <c r="N92" s="2" t="s">
        <v>26</v>
      </c>
      <c r="O92">
        <f t="shared" si="1"/>
        <v>7331.06</v>
      </c>
      <c r="P92">
        <f>O92-(O92*M92/100)</f>
        <v>5864.848</v>
      </c>
    </row>
    <row r="93" spans="5:16" x14ac:dyDescent="0.25">
      <c r="E93" s="2">
        <v>10091</v>
      </c>
      <c r="F93" s="8">
        <v>45733</v>
      </c>
      <c r="G93" s="2" t="s">
        <v>54</v>
      </c>
      <c r="H93" s="2" t="s">
        <v>25</v>
      </c>
      <c r="I93" s="2" t="s">
        <v>17</v>
      </c>
      <c r="J93" s="2" t="s">
        <v>36</v>
      </c>
      <c r="K93" s="2">
        <v>2</v>
      </c>
      <c r="L93" s="2">
        <v>791.73</v>
      </c>
      <c r="M93" s="2">
        <v>10</v>
      </c>
      <c r="N93" s="2" t="s">
        <v>23</v>
      </c>
      <c r="O93">
        <f t="shared" si="1"/>
        <v>1583.46</v>
      </c>
      <c r="P93">
        <f>O93-(O93*M93/100)</f>
        <v>1425.114</v>
      </c>
    </row>
    <row r="94" spans="5:16" x14ac:dyDescent="0.25">
      <c r="E94" s="2">
        <v>10092</v>
      </c>
      <c r="F94" s="8">
        <v>45930</v>
      </c>
      <c r="G94" s="2" t="s">
        <v>54</v>
      </c>
      <c r="H94" s="2" t="s">
        <v>37</v>
      </c>
      <c r="I94" s="2" t="s">
        <v>12</v>
      </c>
      <c r="J94" s="2" t="s">
        <v>22</v>
      </c>
      <c r="K94" s="2">
        <v>2</v>
      </c>
      <c r="L94" s="2">
        <v>428.44</v>
      </c>
      <c r="M94" s="2">
        <v>10</v>
      </c>
      <c r="N94" s="2" t="s">
        <v>23</v>
      </c>
      <c r="O94">
        <f t="shared" si="1"/>
        <v>856.88</v>
      </c>
      <c r="P94">
        <f>O94-(O94*M94/100)</f>
        <v>771.19200000000001</v>
      </c>
    </row>
    <row r="95" spans="5:16" x14ac:dyDescent="0.25">
      <c r="E95" s="2">
        <v>10093</v>
      </c>
      <c r="F95" s="8">
        <v>45915</v>
      </c>
      <c r="G95" s="2" t="s">
        <v>43</v>
      </c>
      <c r="H95" s="2" t="s">
        <v>47</v>
      </c>
      <c r="I95" s="2" t="s">
        <v>40</v>
      </c>
      <c r="J95" s="2" t="s">
        <v>46</v>
      </c>
      <c r="K95" s="2">
        <v>6</v>
      </c>
      <c r="L95" s="2">
        <v>979.08</v>
      </c>
      <c r="M95" s="2">
        <v>15</v>
      </c>
      <c r="N95" s="2" t="s">
        <v>23</v>
      </c>
      <c r="O95">
        <f t="shared" si="1"/>
        <v>5874.4800000000005</v>
      </c>
      <c r="P95">
        <f>O95-(O95*M95/100)</f>
        <v>4993.308</v>
      </c>
    </row>
    <row r="96" spans="5:16" x14ac:dyDescent="0.25">
      <c r="E96" s="2">
        <v>10094</v>
      </c>
      <c r="F96" s="8">
        <v>45919</v>
      </c>
      <c r="G96" s="2" t="s">
        <v>42</v>
      </c>
      <c r="H96" s="2" t="s">
        <v>11</v>
      </c>
      <c r="I96" s="2" t="s">
        <v>12</v>
      </c>
      <c r="J96" s="2" t="s">
        <v>33</v>
      </c>
      <c r="K96" s="2">
        <v>12</v>
      </c>
      <c r="L96" s="2">
        <v>1671.13</v>
      </c>
      <c r="M96" s="2">
        <v>5</v>
      </c>
      <c r="N96" s="2" t="s">
        <v>14</v>
      </c>
      <c r="O96">
        <f t="shared" si="1"/>
        <v>20053.560000000001</v>
      </c>
      <c r="P96">
        <f>O96-(O96*M96/100)</f>
        <v>19050.882000000001</v>
      </c>
    </row>
    <row r="97" spans="5:16" x14ac:dyDescent="0.25">
      <c r="E97" s="2">
        <v>10095</v>
      </c>
      <c r="F97" s="8">
        <v>45922</v>
      </c>
      <c r="G97" s="2" t="s">
        <v>48</v>
      </c>
      <c r="H97" s="2" t="s">
        <v>25</v>
      </c>
      <c r="I97" s="2" t="s">
        <v>17</v>
      </c>
      <c r="J97" s="2" t="s">
        <v>36</v>
      </c>
      <c r="K97" s="2">
        <v>4</v>
      </c>
      <c r="L97" s="2">
        <v>4565.05</v>
      </c>
      <c r="M97" s="2">
        <v>0</v>
      </c>
      <c r="N97" s="2" t="s">
        <v>26</v>
      </c>
      <c r="O97">
        <f t="shared" si="1"/>
        <v>18260.2</v>
      </c>
      <c r="P97">
        <f>O97-(O97*M97/100)</f>
        <v>18260.2</v>
      </c>
    </row>
    <row r="98" spans="5:16" x14ac:dyDescent="0.25">
      <c r="E98" s="2">
        <v>10096</v>
      </c>
      <c r="F98" s="8">
        <v>45998</v>
      </c>
      <c r="G98" s="2" t="s">
        <v>39</v>
      </c>
      <c r="H98" s="2" t="s">
        <v>47</v>
      </c>
      <c r="I98" s="2" t="s">
        <v>17</v>
      </c>
      <c r="J98" s="2" t="s">
        <v>36</v>
      </c>
      <c r="K98" s="2">
        <v>2</v>
      </c>
      <c r="L98" s="2">
        <v>1109.28</v>
      </c>
      <c r="M98" s="2">
        <v>20</v>
      </c>
      <c r="N98" s="2" t="s">
        <v>23</v>
      </c>
      <c r="O98">
        <f t="shared" si="1"/>
        <v>2218.56</v>
      </c>
      <c r="P98">
        <f>O98-(O98*M98/100)</f>
        <v>1774.848</v>
      </c>
    </row>
    <row r="99" spans="5:16" x14ac:dyDescent="0.25">
      <c r="E99" s="2">
        <v>10097</v>
      </c>
      <c r="F99" s="8">
        <v>45883</v>
      </c>
      <c r="G99" s="2" t="s">
        <v>39</v>
      </c>
      <c r="H99" s="2" t="s">
        <v>51</v>
      </c>
      <c r="I99" s="2" t="s">
        <v>34</v>
      </c>
      <c r="J99" s="2" t="s">
        <v>35</v>
      </c>
      <c r="K99" s="2">
        <v>11</v>
      </c>
      <c r="L99" s="2">
        <v>3118.02</v>
      </c>
      <c r="M99" s="2">
        <v>5</v>
      </c>
      <c r="N99" s="2" t="s">
        <v>19</v>
      </c>
      <c r="O99">
        <f t="shared" si="1"/>
        <v>34298.22</v>
      </c>
      <c r="P99">
        <f>O99-(O99*M99/100)</f>
        <v>32583.309000000001</v>
      </c>
    </row>
    <row r="100" spans="5:16" x14ac:dyDescent="0.25">
      <c r="E100" s="2">
        <v>10098</v>
      </c>
      <c r="F100" s="8">
        <v>46011</v>
      </c>
      <c r="G100" s="2" t="s">
        <v>32</v>
      </c>
      <c r="H100" s="2" t="s">
        <v>21</v>
      </c>
      <c r="I100" s="2" t="s">
        <v>34</v>
      </c>
      <c r="J100" s="2" t="s">
        <v>50</v>
      </c>
      <c r="K100" s="2">
        <v>9</v>
      </c>
      <c r="L100" s="2">
        <v>2014.94</v>
      </c>
      <c r="M100" s="2">
        <v>5</v>
      </c>
      <c r="N100" s="2" t="s">
        <v>30</v>
      </c>
      <c r="O100">
        <f t="shared" si="1"/>
        <v>18134.46</v>
      </c>
      <c r="P100">
        <f>O100-(O100*M100/100)</f>
        <v>17227.737000000001</v>
      </c>
    </row>
    <row r="101" spans="5:16" x14ac:dyDescent="0.25">
      <c r="E101" s="2">
        <v>10099</v>
      </c>
      <c r="F101" s="8">
        <v>45927</v>
      </c>
      <c r="G101" s="2" t="s">
        <v>20</v>
      </c>
      <c r="H101" s="2" t="s">
        <v>45</v>
      </c>
      <c r="I101" s="2" t="s">
        <v>40</v>
      </c>
      <c r="J101" s="2" t="s">
        <v>41</v>
      </c>
      <c r="K101" s="2">
        <v>17</v>
      </c>
      <c r="L101" s="2">
        <v>453.02</v>
      </c>
      <c r="M101" s="2">
        <v>10</v>
      </c>
      <c r="N101" s="2" t="s">
        <v>14</v>
      </c>
      <c r="O101">
        <f t="shared" si="1"/>
        <v>7701.34</v>
      </c>
      <c r="P101">
        <f>O101-(O101*M101/100)</f>
        <v>6931.2060000000001</v>
      </c>
    </row>
    <row r="102" spans="5:16" x14ac:dyDescent="0.25">
      <c r="E102" s="2">
        <v>10100</v>
      </c>
      <c r="F102" s="8">
        <v>45905</v>
      </c>
      <c r="G102" s="2" t="s">
        <v>42</v>
      </c>
      <c r="H102" s="2" t="s">
        <v>51</v>
      </c>
      <c r="I102" s="2" t="s">
        <v>34</v>
      </c>
      <c r="J102" s="2" t="s">
        <v>38</v>
      </c>
      <c r="K102" s="2">
        <v>11</v>
      </c>
      <c r="L102" s="2">
        <v>241.83</v>
      </c>
      <c r="M102" s="2">
        <v>5</v>
      </c>
      <c r="N102" s="2" t="s">
        <v>26</v>
      </c>
      <c r="O102">
        <f t="shared" si="1"/>
        <v>2660.13</v>
      </c>
      <c r="P102">
        <f>O102-(O102*M102/100)</f>
        <v>2527.1235000000001</v>
      </c>
    </row>
    <row r="103" spans="5:16" x14ac:dyDescent="0.25">
      <c r="E103" s="2">
        <v>10101</v>
      </c>
      <c r="F103" s="8">
        <v>45832</v>
      </c>
      <c r="G103" s="2" t="s">
        <v>10</v>
      </c>
      <c r="H103" s="2" t="s">
        <v>29</v>
      </c>
      <c r="I103" s="2" t="s">
        <v>34</v>
      </c>
      <c r="J103" s="2" t="s">
        <v>38</v>
      </c>
      <c r="K103" s="2">
        <v>9</v>
      </c>
      <c r="L103" s="2">
        <v>2571.46</v>
      </c>
      <c r="M103" s="2">
        <v>15</v>
      </c>
      <c r="N103" s="2" t="s">
        <v>30</v>
      </c>
      <c r="O103">
        <f t="shared" si="1"/>
        <v>23143.14</v>
      </c>
      <c r="P103">
        <f>O103-(O103*M103/100)</f>
        <v>19671.669000000002</v>
      </c>
    </row>
    <row r="104" spans="5:16" x14ac:dyDescent="0.25">
      <c r="E104" s="2">
        <v>10102</v>
      </c>
      <c r="F104" s="8">
        <v>45871</v>
      </c>
      <c r="G104" s="2" t="s">
        <v>24</v>
      </c>
      <c r="H104" s="2" t="s">
        <v>16</v>
      </c>
      <c r="I104" s="2" t="s">
        <v>40</v>
      </c>
      <c r="J104" s="2" t="s">
        <v>53</v>
      </c>
      <c r="K104" s="2">
        <v>1</v>
      </c>
      <c r="L104" s="2">
        <v>1754.55</v>
      </c>
      <c r="M104" s="2">
        <v>5</v>
      </c>
      <c r="N104" s="2" t="s">
        <v>19</v>
      </c>
      <c r="O104">
        <f t="shared" si="1"/>
        <v>1754.55</v>
      </c>
      <c r="P104">
        <f>O104-(O104*M104/100)</f>
        <v>1666.8225</v>
      </c>
    </row>
    <row r="105" spans="5:16" x14ac:dyDescent="0.25">
      <c r="E105" s="2">
        <v>10103</v>
      </c>
      <c r="F105" s="8">
        <v>45733</v>
      </c>
      <c r="G105" s="2" t="s">
        <v>43</v>
      </c>
      <c r="H105" s="2" t="s">
        <v>45</v>
      </c>
      <c r="I105" s="2" t="s">
        <v>34</v>
      </c>
      <c r="J105" s="2" t="s">
        <v>35</v>
      </c>
      <c r="K105" s="2">
        <v>20</v>
      </c>
      <c r="L105" s="2">
        <v>2192.08</v>
      </c>
      <c r="M105" s="2">
        <v>15</v>
      </c>
      <c r="N105" s="2" t="s">
        <v>14</v>
      </c>
      <c r="O105">
        <f t="shared" si="1"/>
        <v>43841.599999999999</v>
      </c>
      <c r="P105">
        <f>O105-(O105*M105/100)</f>
        <v>37265.360000000001</v>
      </c>
    </row>
    <row r="106" spans="5:16" x14ac:dyDescent="0.25">
      <c r="E106" s="2">
        <v>10104</v>
      </c>
      <c r="F106" s="8">
        <v>45864</v>
      </c>
      <c r="G106" s="2" t="s">
        <v>31</v>
      </c>
      <c r="H106" s="2" t="s">
        <v>51</v>
      </c>
      <c r="I106" s="2" t="s">
        <v>34</v>
      </c>
      <c r="J106" s="2" t="s">
        <v>35</v>
      </c>
      <c r="K106" s="2">
        <v>7</v>
      </c>
      <c r="L106" s="2">
        <v>781.07</v>
      </c>
      <c r="M106" s="2">
        <v>20</v>
      </c>
      <c r="N106" s="2" t="s">
        <v>14</v>
      </c>
      <c r="O106">
        <f t="shared" si="1"/>
        <v>5467.4900000000007</v>
      </c>
      <c r="P106">
        <f>O106-(O106*M106/100)</f>
        <v>4373.9920000000002</v>
      </c>
    </row>
    <row r="107" spans="5:16" x14ac:dyDescent="0.25">
      <c r="E107" s="2">
        <v>10105</v>
      </c>
      <c r="F107" s="8">
        <v>45948</v>
      </c>
      <c r="G107" s="2" t="s">
        <v>27</v>
      </c>
      <c r="H107" s="2" t="s">
        <v>45</v>
      </c>
      <c r="I107" s="2" t="s">
        <v>17</v>
      </c>
      <c r="J107" s="2" t="s">
        <v>28</v>
      </c>
      <c r="K107" s="2">
        <v>7</v>
      </c>
      <c r="L107" s="2">
        <v>3951.44</v>
      </c>
      <c r="M107" s="2">
        <v>10</v>
      </c>
      <c r="N107" s="2" t="s">
        <v>23</v>
      </c>
      <c r="O107">
        <f t="shared" si="1"/>
        <v>27660.080000000002</v>
      </c>
      <c r="P107">
        <f>O107-(O107*M107/100)</f>
        <v>24894.072</v>
      </c>
    </row>
    <row r="108" spans="5:16" x14ac:dyDescent="0.25">
      <c r="E108" s="2">
        <v>10106</v>
      </c>
      <c r="F108" s="8">
        <v>45706</v>
      </c>
      <c r="G108" s="2" t="s">
        <v>42</v>
      </c>
      <c r="H108" s="2" t="s">
        <v>29</v>
      </c>
      <c r="I108" s="2" t="s">
        <v>12</v>
      </c>
      <c r="J108" s="2" t="s">
        <v>56</v>
      </c>
      <c r="K108" s="2">
        <v>19</v>
      </c>
      <c r="L108" s="2">
        <v>471.44</v>
      </c>
      <c r="M108" s="2">
        <v>10</v>
      </c>
      <c r="N108" s="2" t="s">
        <v>23</v>
      </c>
      <c r="O108">
        <f t="shared" si="1"/>
        <v>8957.36</v>
      </c>
      <c r="P108">
        <f>O108-(O108*M108/100)</f>
        <v>8061.6240000000007</v>
      </c>
    </row>
    <row r="109" spans="5:16" x14ac:dyDescent="0.25">
      <c r="E109" s="2">
        <v>10107</v>
      </c>
      <c r="F109" s="8">
        <v>45953</v>
      </c>
      <c r="G109" s="2" t="s">
        <v>20</v>
      </c>
      <c r="H109" s="2" t="s">
        <v>37</v>
      </c>
      <c r="I109" s="2" t="s">
        <v>40</v>
      </c>
      <c r="J109" s="2" t="s">
        <v>46</v>
      </c>
      <c r="K109" s="2">
        <v>5</v>
      </c>
      <c r="L109" s="2">
        <v>4851.87</v>
      </c>
      <c r="M109" s="2">
        <v>15</v>
      </c>
      <c r="N109" s="2" t="s">
        <v>14</v>
      </c>
      <c r="O109">
        <f t="shared" si="1"/>
        <v>24259.35</v>
      </c>
      <c r="P109">
        <f>O109-(O109*M109/100)</f>
        <v>20620.447499999998</v>
      </c>
    </row>
    <row r="110" spans="5:16" x14ac:dyDescent="0.25">
      <c r="E110" s="2">
        <v>10108</v>
      </c>
      <c r="F110" s="8">
        <v>45796</v>
      </c>
      <c r="G110" s="2" t="s">
        <v>27</v>
      </c>
      <c r="H110" s="2" t="s">
        <v>47</v>
      </c>
      <c r="I110" s="2" t="s">
        <v>12</v>
      </c>
      <c r="J110" s="2" t="s">
        <v>13</v>
      </c>
      <c r="K110" s="2">
        <v>2</v>
      </c>
      <c r="L110" s="2">
        <v>4057.49</v>
      </c>
      <c r="M110" s="2">
        <v>10</v>
      </c>
      <c r="N110" s="2" t="s">
        <v>23</v>
      </c>
      <c r="O110">
        <f t="shared" si="1"/>
        <v>8114.98</v>
      </c>
      <c r="P110">
        <f>O110-(O110*M110/100)</f>
        <v>7303.482</v>
      </c>
    </row>
    <row r="111" spans="5:16" x14ac:dyDescent="0.25">
      <c r="E111" s="2">
        <v>10109</v>
      </c>
      <c r="F111" s="8">
        <v>45988</v>
      </c>
      <c r="G111" s="2" t="s">
        <v>31</v>
      </c>
      <c r="H111" s="2" t="s">
        <v>51</v>
      </c>
      <c r="I111" s="2" t="s">
        <v>34</v>
      </c>
      <c r="J111" s="2" t="s">
        <v>35</v>
      </c>
      <c r="K111" s="2">
        <v>16</v>
      </c>
      <c r="L111" s="2">
        <v>2968.71</v>
      </c>
      <c r="M111" s="2">
        <v>10</v>
      </c>
      <c r="N111" s="2" t="s">
        <v>14</v>
      </c>
      <c r="O111">
        <f t="shared" si="1"/>
        <v>47499.360000000001</v>
      </c>
      <c r="P111">
        <f>O111-(O111*M111/100)</f>
        <v>42749.423999999999</v>
      </c>
    </row>
    <row r="112" spans="5:16" x14ac:dyDescent="0.25">
      <c r="E112" s="2">
        <v>10110</v>
      </c>
      <c r="F112" s="8">
        <v>45985</v>
      </c>
      <c r="G112" s="2" t="s">
        <v>54</v>
      </c>
      <c r="H112" s="2" t="s">
        <v>52</v>
      </c>
      <c r="I112" s="2" t="s">
        <v>12</v>
      </c>
      <c r="J112" s="2" t="s">
        <v>33</v>
      </c>
      <c r="K112" s="2">
        <v>5</v>
      </c>
      <c r="L112" s="2">
        <v>2739.88</v>
      </c>
      <c r="M112" s="2">
        <v>5</v>
      </c>
      <c r="N112" s="2" t="s">
        <v>19</v>
      </c>
      <c r="O112">
        <f t="shared" si="1"/>
        <v>13699.400000000001</v>
      </c>
      <c r="P112">
        <f>O112-(O112*M112/100)</f>
        <v>13014.430000000002</v>
      </c>
    </row>
    <row r="113" spans="5:16" x14ac:dyDescent="0.25">
      <c r="E113" s="2">
        <v>10111</v>
      </c>
      <c r="F113" s="8">
        <v>45911</v>
      </c>
      <c r="G113" s="2" t="s">
        <v>54</v>
      </c>
      <c r="H113" s="2" t="s">
        <v>16</v>
      </c>
      <c r="I113" s="2" t="s">
        <v>40</v>
      </c>
      <c r="J113" s="2" t="s">
        <v>49</v>
      </c>
      <c r="K113" s="2">
        <v>11</v>
      </c>
      <c r="L113" s="2">
        <v>2903.32</v>
      </c>
      <c r="M113" s="2">
        <v>10</v>
      </c>
      <c r="N113" s="2" t="s">
        <v>23</v>
      </c>
      <c r="O113">
        <f t="shared" si="1"/>
        <v>31936.52</v>
      </c>
      <c r="P113">
        <f>O113-(O113*M113/100)</f>
        <v>28742.868000000002</v>
      </c>
    </row>
    <row r="114" spans="5:16" x14ac:dyDescent="0.25">
      <c r="E114" s="2">
        <v>10112</v>
      </c>
      <c r="F114" s="8">
        <v>45884</v>
      </c>
      <c r="G114" s="2" t="s">
        <v>24</v>
      </c>
      <c r="H114" s="2" t="s">
        <v>25</v>
      </c>
      <c r="I114" s="2" t="s">
        <v>12</v>
      </c>
      <c r="J114" s="2" t="s">
        <v>13</v>
      </c>
      <c r="K114" s="2">
        <v>20</v>
      </c>
      <c r="L114" s="2">
        <v>288.17</v>
      </c>
      <c r="M114" s="2">
        <v>10</v>
      </c>
      <c r="N114" s="2" t="s">
        <v>19</v>
      </c>
      <c r="O114">
        <f t="shared" si="1"/>
        <v>5763.4000000000005</v>
      </c>
      <c r="P114">
        <f>O114-(O114*M114/100)</f>
        <v>5187.0600000000004</v>
      </c>
    </row>
    <row r="115" spans="5:16" x14ac:dyDescent="0.25">
      <c r="E115" s="2">
        <v>10113</v>
      </c>
      <c r="F115" s="8">
        <v>45975</v>
      </c>
      <c r="G115" s="2" t="s">
        <v>15</v>
      </c>
      <c r="H115" s="2" t="s">
        <v>52</v>
      </c>
      <c r="I115" s="2" t="s">
        <v>12</v>
      </c>
      <c r="J115" s="2" t="s">
        <v>22</v>
      </c>
      <c r="K115" s="2">
        <v>16</v>
      </c>
      <c r="L115" s="2">
        <v>4823.5200000000004</v>
      </c>
      <c r="M115" s="2">
        <v>10</v>
      </c>
      <c r="N115" s="2" t="s">
        <v>14</v>
      </c>
      <c r="O115">
        <f t="shared" si="1"/>
        <v>77176.320000000007</v>
      </c>
      <c r="P115">
        <f>O115-(O115*M115/100)</f>
        <v>69458.688000000009</v>
      </c>
    </row>
    <row r="116" spans="5:16" x14ac:dyDescent="0.25">
      <c r="E116" s="2">
        <v>10114</v>
      </c>
      <c r="F116" s="8">
        <v>45780</v>
      </c>
      <c r="G116" s="2" t="s">
        <v>31</v>
      </c>
      <c r="H116" s="2" t="s">
        <v>11</v>
      </c>
      <c r="I116" s="2" t="s">
        <v>34</v>
      </c>
      <c r="J116" s="2" t="s">
        <v>38</v>
      </c>
      <c r="K116" s="2">
        <v>19</v>
      </c>
      <c r="L116" s="2">
        <v>4074.87</v>
      </c>
      <c r="M116" s="2">
        <v>5</v>
      </c>
      <c r="N116" s="2" t="s">
        <v>30</v>
      </c>
      <c r="O116">
        <f t="shared" si="1"/>
        <v>77422.53</v>
      </c>
      <c r="P116">
        <f>O116-(O116*M116/100)</f>
        <v>73551.4035</v>
      </c>
    </row>
    <row r="117" spans="5:16" x14ac:dyDescent="0.25">
      <c r="E117" s="2">
        <v>10115</v>
      </c>
      <c r="F117" s="8">
        <v>45719</v>
      </c>
      <c r="G117" s="2" t="s">
        <v>15</v>
      </c>
      <c r="H117" s="2" t="s">
        <v>21</v>
      </c>
      <c r="I117" s="2" t="s">
        <v>40</v>
      </c>
      <c r="J117" s="2" t="s">
        <v>53</v>
      </c>
      <c r="K117" s="2">
        <v>16</v>
      </c>
      <c r="L117" s="2">
        <v>4030.93</v>
      </c>
      <c r="M117" s="2">
        <v>10</v>
      </c>
      <c r="N117" s="2" t="s">
        <v>23</v>
      </c>
      <c r="O117">
        <f t="shared" si="1"/>
        <v>64494.879999999997</v>
      </c>
      <c r="P117">
        <f>O117-(O117*M117/100)</f>
        <v>58045.392</v>
      </c>
    </row>
    <row r="118" spans="5:16" x14ac:dyDescent="0.25">
      <c r="E118" s="2">
        <v>10116</v>
      </c>
      <c r="F118" s="8">
        <v>45929</v>
      </c>
      <c r="G118" s="2" t="s">
        <v>31</v>
      </c>
      <c r="H118" s="2" t="s">
        <v>25</v>
      </c>
      <c r="I118" s="2" t="s">
        <v>40</v>
      </c>
      <c r="J118" s="2" t="s">
        <v>41</v>
      </c>
      <c r="K118" s="2">
        <v>8</v>
      </c>
      <c r="L118" s="2">
        <v>1683.97</v>
      </c>
      <c r="M118" s="2">
        <v>15</v>
      </c>
      <c r="N118" s="2" t="s">
        <v>19</v>
      </c>
      <c r="O118">
        <f t="shared" si="1"/>
        <v>13471.76</v>
      </c>
      <c r="P118">
        <f>O118-(O118*M118/100)</f>
        <v>11450.996000000001</v>
      </c>
    </row>
    <row r="119" spans="5:16" x14ac:dyDescent="0.25">
      <c r="E119" s="2">
        <v>10117</v>
      </c>
      <c r="F119" s="8">
        <v>45721</v>
      </c>
      <c r="G119" s="2" t="s">
        <v>24</v>
      </c>
      <c r="H119" s="2" t="s">
        <v>21</v>
      </c>
      <c r="I119" s="2" t="s">
        <v>12</v>
      </c>
      <c r="J119" s="2" t="s">
        <v>56</v>
      </c>
      <c r="K119" s="2">
        <v>5</v>
      </c>
      <c r="L119" s="2">
        <v>125.63</v>
      </c>
      <c r="M119" s="2">
        <v>15</v>
      </c>
      <c r="N119" s="2" t="s">
        <v>14</v>
      </c>
      <c r="O119">
        <f t="shared" si="1"/>
        <v>628.15</v>
      </c>
      <c r="P119">
        <f>O119-(O119*M119/100)</f>
        <v>533.92750000000001</v>
      </c>
    </row>
    <row r="120" spans="5:16" x14ac:dyDescent="0.25">
      <c r="E120" s="2">
        <v>10118</v>
      </c>
      <c r="F120" s="8">
        <v>45996</v>
      </c>
      <c r="G120" s="2" t="s">
        <v>20</v>
      </c>
      <c r="H120" s="2" t="s">
        <v>45</v>
      </c>
      <c r="I120" s="2" t="s">
        <v>12</v>
      </c>
      <c r="J120" s="2" t="s">
        <v>33</v>
      </c>
      <c r="K120" s="2">
        <v>3</v>
      </c>
      <c r="L120" s="2">
        <v>2825.02</v>
      </c>
      <c r="M120" s="2">
        <v>0</v>
      </c>
      <c r="N120" s="2" t="s">
        <v>19</v>
      </c>
      <c r="O120">
        <f t="shared" si="1"/>
        <v>8475.06</v>
      </c>
      <c r="P120">
        <f>O120-(O120*M120/100)</f>
        <v>8475.06</v>
      </c>
    </row>
    <row r="121" spans="5:16" x14ac:dyDescent="0.25">
      <c r="E121" s="2">
        <v>10119</v>
      </c>
      <c r="F121" s="8">
        <v>45824</v>
      </c>
      <c r="G121" s="2" t="s">
        <v>20</v>
      </c>
      <c r="H121" s="2" t="s">
        <v>16</v>
      </c>
      <c r="I121" s="2" t="s">
        <v>40</v>
      </c>
      <c r="J121" s="2" t="s">
        <v>46</v>
      </c>
      <c r="K121" s="2">
        <v>11</v>
      </c>
      <c r="L121" s="2">
        <v>1855.49</v>
      </c>
      <c r="M121" s="2">
        <v>15</v>
      </c>
      <c r="N121" s="2" t="s">
        <v>19</v>
      </c>
      <c r="O121">
        <f t="shared" si="1"/>
        <v>20410.39</v>
      </c>
      <c r="P121">
        <f>O121-(O121*M121/100)</f>
        <v>17348.8315</v>
      </c>
    </row>
    <row r="122" spans="5:16" x14ac:dyDescent="0.25">
      <c r="E122" s="2">
        <v>10120</v>
      </c>
      <c r="F122" s="8">
        <v>45767</v>
      </c>
      <c r="G122" s="2" t="s">
        <v>15</v>
      </c>
      <c r="H122" s="2" t="s">
        <v>29</v>
      </c>
      <c r="I122" s="2" t="s">
        <v>17</v>
      </c>
      <c r="J122" s="2" t="s">
        <v>36</v>
      </c>
      <c r="K122" s="2">
        <v>14</v>
      </c>
      <c r="L122" s="2">
        <v>1299.1300000000001</v>
      </c>
      <c r="M122" s="2">
        <v>15</v>
      </c>
      <c r="N122" s="2" t="s">
        <v>19</v>
      </c>
      <c r="O122">
        <f t="shared" si="1"/>
        <v>18187.82</v>
      </c>
      <c r="P122">
        <f>O122-(O122*M122/100)</f>
        <v>15459.647000000001</v>
      </c>
    </row>
    <row r="123" spans="5:16" x14ac:dyDescent="0.25">
      <c r="E123" s="2">
        <v>10121</v>
      </c>
      <c r="F123" s="8">
        <v>45886</v>
      </c>
      <c r="G123" s="2" t="s">
        <v>20</v>
      </c>
      <c r="H123" s="2" t="s">
        <v>45</v>
      </c>
      <c r="I123" s="2" t="s">
        <v>40</v>
      </c>
      <c r="J123" s="2" t="s">
        <v>49</v>
      </c>
      <c r="K123" s="2">
        <v>9</v>
      </c>
      <c r="L123" s="2">
        <v>3166.78</v>
      </c>
      <c r="M123" s="2">
        <v>20</v>
      </c>
      <c r="N123" s="2" t="s">
        <v>23</v>
      </c>
      <c r="O123">
        <f t="shared" si="1"/>
        <v>28501.02</v>
      </c>
      <c r="P123">
        <f>O123-(O123*M123/100)</f>
        <v>22800.815999999999</v>
      </c>
    </row>
    <row r="124" spans="5:16" x14ac:dyDescent="0.25">
      <c r="E124" s="2">
        <v>10122</v>
      </c>
      <c r="F124" s="8">
        <v>45985</v>
      </c>
      <c r="G124" s="2" t="s">
        <v>27</v>
      </c>
      <c r="H124" s="2" t="s">
        <v>37</v>
      </c>
      <c r="I124" s="2" t="s">
        <v>34</v>
      </c>
      <c r="J124" s="2" t="s">
        <v>44</v>
      </c>
      <c r="K124" s="2">
        <v>19</v>
      </c>
      <c r="L124" s="2">
        <v>4797.83</v>
      </c>
      <c r="M124" s="2">
        <v>0</v>
      </c>
      <c r="N124" s="2" t="s">
        <v>19</v>
      </c>
      <c r="O124">
        <f t="shared" si="1"/>
        <v>91158.77</v>
      </c>
      <c r="P124">
        <f>O124-(O124*M124/100)</f>
        <v>91158.77</v>
      </c>
    </row>
    <row r="125" spans="5:16" x14ac:dyDescent="0.25">
      <c r="E125" s="2">
        <v>10123</v>
      </c>
      <c r="F125" s="8">
        <v>45767</v>
      </c>
      <c r="G125" s="2" t="s">
        <v>15</v>
      </c>
      <c r="H125" s="2" t="s">
        <v>52</v>
      </c>
      <c r="I125" s="2" t="s">
        <v>40</v>
      </c>
      <c r="J125" s="2" t="s">
        <v>53</v>
      </c>
      <c r="K125" s="2">
        <v>15</v>
      </c>
      <c r="L125" s="2">
        <v>1636.15</v>
      </c>
      <c r="M125" s="2">
        <v>15</v>
      </c>
      <c r="N125" s="2" t="s">
        <v>23</v>
      </c>
      <c r="O125">
        <f t="shared" si="1"/>
        <v>24542.25</v>
      </c>
      <c r="P125">
        <f>O125-(O125*M125/100)</f>
        <v>20860.912499999999</v>
      </c>
    </row>
    <row r="126" spans="5:16" x14ac:dyDescent="0.25">
      <c r="E126" s="2">
        <v>10124</v>
      </c>
      <c r="F126" s="8">
        <v>45684</v>
      </c>
      <c r="G126" s="2" t="s">
        <v>32</v>
      </c>
      <c r="H126" s="2" t="s">
        <v>52</v>
      </c>
      <c r="I126" s="2" t="s">
        <v>12</v>
      </c>
      <c r="J126" s="2" t="s">
        <v>13</v>
      </c>
      <c r="K126" s="2">
        <v>12</v>
      </c>
      <c r="L126" s="2">
        <v>2738.98</v>
      </c>
      <c r="M126" s="2">
        <v>20</v>
      </c>
      <c r="N126" s="2" t="s">
        <v>30</v>
      </c>
      <c r="O126">
        <f t="shared" si="1"/>
        <v>32867.760000000002</v>
      </c>
      <c r="P126">
        <f>O126-(O126*M126/100)</f>
        <v>26294.208000000002</v>
      </c>
    </row>
    <row r="127" spans="5:16" x14ac:dyDescent="0.25">
      <c r="E127" s="2">
        <v>10125</v>
      </c>
      <c r="F127" s="8">
        <v>46012</v>
      </c>
      <c r="G127" s="2" t="s">
        <v>48</v>
      </c>
      <c r="H127" s="2" t="s">
        <v>29</v>
      </c>
      <c r="I127" s="2" t="s">
        <v>34</v>
      </c>
      <c r="J127" s="2" t="s">
        <v>44</v>
      </c>
      <c r="K127" s="2">
        <v>15</v>
      </c>
      <c r="L127" s="2">
        <v>2230.9699999999998</v>
      </c>
      <c r="M127" s="2">
        <v>10</v>
      </c>
      <c r="N127" s="2" t="s">
        <v>30</v>
      </c>
      <c r="O127">
        <f t="shared" si="1"/>
        <v>33464.549999999996</v>
      </c>
      <c r="P127">
        <f>O127-(O127*M127/100)</f>
        <v>30118.094999999998</v>
      </c>
    </row>
    <row r="128" spans="5:16" x14ac:dyDescent="0.25">
      <c r="E128" s="2">
        <v>10126</v>
      </c>
      <c r="F128" s="8">
        <v>45844</v>
      </c>
      <c r="G128" s="2" t="s">
        <v>39</v>
      </c>
      <c r="H128" s="2" t="s">
        <v>25</v>
      </c>
      <c r="I128" s="2" t="s">
        <v>40</v>
      </c>
      <c r="J128" s="2" t="s">
        <v>46</v>
      </c>
      <c r="K128" s="2">
        <v>18</v>
      </c>
      <c r="L128" s="2">
        <v>1529</v>
      </c>
      <c r="M128" s="2">
        <v>10</v>
      </c>
      <c r="N128" s="2" t="s">
        <v>30</v>
      </c>
      <c r="O128">
        <f t="shared" si="1"/>
        <v>27522</v>
      </c>
      <c r="P128">
        <f>O128-(O128*M128/100)</f>
        <v>24769.8</v>
      </c>
    </row>
    <row r="129" spans="5:16" x14ac:dyDescent="0.25">
      <c r="E129" s="2">
        <v>10127</v>
      </c>
      <c r="F129" s="8">
        <v>45987</v>
      </c>
      <c r="G129" s="2" t="s">
        <v>10</v>
      </c>
      <c r="H129" s="2" t="s">
        <v>45</v>
      </c>
      <c r="I129" s="2" t="s">
        <v>12</v>
      </c>
      <c r="J129" s="2" t="s">
        <v>22</v>
      </c>
      <c r="K129" s="2">
        <v>13</v>
      </c>
      <c r="L129" s="2">
        <v>785.07</v>
      </c>
      <c r="M129" s="2">
        <v>0</v>
      </c>
      <c r="N129" s="2" t="s">
        <v>14</v>
      </c>
      <c r="O129">
        <f t="shared" si="1"/>
        <v>10205.91</v>
      </c>
      <c r="P129">
        <f>O129-(O129*M129/100)</f>
        <v>10205.91</v>
      </c>
    </row>
    <row r="130" spans="5:16" x14ac:dyDescent="0.25">
      <c r="E130" s="2">
        <v>10128</v>
      </c>
      <c r="F130" s="8">
        <v>45791</v>
      </c>
      <c r="G130" s="2" t="s">
        <v>31</v>
      </c>
      <c r="H130" s="2" t="s">
        <v>47</v>
      </c>
      <c r="I130" s="2" t="s">
        <v>12</v>
      </c>
      <c r="J130" s="2" t="s">
        <v>22</v>
      </c>
      <c r="K130" s="2">
        <v>3</v>
      </c>
      <c r="L130" s="2">
        <v>1604.88</v>
      </c>
      <c r="M130" s="2">
        <v>15</v>
      </c>
      <c r="N130" s="2" t="s">
        <v>30</v>
      </c>
      <c r="O130">
        <f t="shared" si="1"/>
        <v>4814.6400000000003</v>
      </c>
      <c r="P130">
        <f>O130-(O130*M130/100)</f>
        <v>4092.4440000000004</v>
      </c>
    </row>
    <row r="131" spans="5:16" x14ac:dyDescent="0.25">
      <c r="E131" s="2">
        <v>10129</v>
      </c>
      <c r="F131" s="8">
        <v>45903</v>
      </c>
      <c r="G131" s="2" t="s">
        <v>10</v>
      </c>
      <c r="H131" s="2" t="s">
        <v>47</v>
      </c>
      <c r="I131" s="2" t="s">
        <v>17</v>
      </c>
      <c r="J131" s="2" t="s">
        <v>28</v>
      </c>
      <c r="K131" s="2">
        <v>19</v>
      </c>
      <c r="L131" s="2">
        <v>494.82</v>
      </c>
      <c r="M131" s="2">
        <v>10</v>
      </c>
      <c r="N131" s="2" t="s">
        <v>19</v>
      </c>
      <c r="O131">
        <f t="shared" si="1"/>
        <v>9401.58</v>
      </c>
      <c r="P131">
        <f>O131-(O131*M131/100)</f>
        <v>8461.4220000000005</v>
      </c>
    </row>
    <row r="132" spans="5:16" x14ac:dyDescent="0.25">
      <c r="E132" s="2">
        <v>10130</v>
      </c>
      <c r="F132" s="8">
        <v>45978</v>
      </c>
      <c r="G132" s="2" t="s">
        <v>20</v>
      </c>
      <c r="H132" s="2" t="s">
        <v>45</v>
      </c>
      <c r="I132" s="2" t="s">
        <v>12</v>
      </c>
      <c r="J132" s="2" t="s">
        <v>13</v>
      </c>
      <c r="K132" s="2">
        <v>20</v>
      </c>
      <c r="L132" s="2">
        <v>3340.24</v>
      </c>
      <c r="M132" s="2">
        <v>20</v>
      </c>
      <c r="N132" s="2" t="s">
        <v>14</v>
      </c>
      <c r="O132">
        <f t="shared" ref="O132:O195" si="2">K132*L132</f>
        <v>66804.799999999988</v>
      </c>
      <c r="P132">
        <f>O132-(O132*M132/100)</f>
        <v>53443.839999999989</v>
      </c>
    </row>
    <row r="133" spans="5:16" x14ac:dyDescent="0.25">
      <c r="E133" s="2">
        <v>10131</v>
      </c>
      <c r="F133" s="8">
        <v>45713</v>
      </c>
      <c r="G133" s="2" t="s">
        <v>10</v>
      </c>
      <c r="H133" s="2" t="s">
        <v>21</v>
      </c>
      <c r="I133" s="2" t="s">
        <v>40</v>
      </c>
      <c r="J133" s="2" t="s">
        <v>41</v>
      </c>
      <c r="K133" s="2">
        <v>2</v>
      </c>
      <c r="L133" s="2">
        <v>2968.79</v>
      </c>
      <c r="M133" s="2">
        <v>0</v>
      </c>
      <c r="N133" s="2" t="s">
        <v>26</v>
      </c>
      <c r="O133">
        <f t="shared" si="2"/>
        <v>5937.58</v>
      </c>
      <c r="P133">
        <f>O133-(O133*M133/100)</f>
        <v>5937.58</v>
      </c>
    </row>
    <row r="134" spans="5:16" x14ac:dyDescent="0.25">
      <c r="E134" s="2">
        <v>10132</v>
      </c>
      <c r="F134" s="8">
        <v>45675</v>
      </c>
      <c r="G134" s="2" t="s">
        <v>20</v>
      </c>
      <c r="H134" s="2" t="s">
        <v>16</v>
      </c>
      <c r="I134" s="2" t="s">
        <v>17</v>
      </c>
      <c r="J134" s="2" t="s">
        <v>36</v>
      </c>
      <c r="K134" s="2">
        <v>15</v>
      </c>
      <c r="L134" s="2">
        <v>3942.73</v>
      </c>
      <c r="M134" s="2">
        <v>0</v>
      </c>
      <c r="N134" s="2" t="s">
        <v>14</v>
      </c>
      <c r="O134">
        <f t="shared" si="2"/>
        <v>59140.95</v>
      </c>
      <c r="P134">
        <f>O134-(O134*M134/100)</f>
        <v>59140.95</v>
      </c>
    </row>
    <row r="135" spans="5:16" x14ac:dyDescent="0.25">
      <c r="E135" s="2">
        <v>10133</v>
      </c>
      <c r="F135" s="8">
        <v>45665</v>
      </c>
      <c r="G135" s="2" t="s">
        <v>32</v>
      </c>
      <c r="H135" s="2" t="s">
        <v>37</v>
      </c>
      <c r="I135" s="2" t="s">
        <v>34</v>
      </c>
      <c r="J135" s="2" t="s">
        <v>50</v>
      </c>
      <c r="K135" s="2">
        <v>19</v>
      </c>
      <c r="L135" s="2">
        <v>3237.08</v>
      </c>
      <c r="M135" s="2">
        <v>0</v>
      </c>
      <c r="N135" s="2" t="s">
        <v>30</v>
      </c>
      <c r="O135">
        <f t="shared" si="2"/>
        <v>61504.52</v>
      </c>
      <c r="P135">
        <f>O135-(O135*M135/100)</f>
        <v>61504.52</v>
      </c>
    </row>
    <row r="136" spans="5:16" x14ac:dyDescent="0.25">
      <c r="E136" s="2">
        <v>10134</v>
      </c>
      <c r="F136" s="8">
        <v>45749</v>
      </c>
      <c r="G136" s="2" t="s">
        <v>15</v>
      </c>
      <c r="H136" s="2" t="s">
        <v>16</v>
      </c>
      <c r="I136" s="2" t="s">
        <v>34</v>
      </c>
      <c r="J136" s="2" t="s">
        <v>38</v>
      </c>
      <c r="K136" s="2">
        <v>19</v>
      </c>
      <c r="L136" s="2">
        <v>3719.76</v>
      </c>
      <c r="M136" s="2">
        <v>0</v>
      </c>
      <c r="N136" s="2" t="s">
        <v>23</v>
      </c>
      <c r="O136">
        <f t="shared" si="2"/>
        <v>70675.44</v>
      </c>
      <c r="P136">
        <f>O136-(O136*M136/100)</f>
        <v>70675.44</v>
      </c>
    </row>
    <row r="137" spans="5:16" x14ac:dyDescent="0.25">
      <c r="E137" s="2">
        <v>10135</v>
      </c>
      <c r="F137" s="8">
        <v>45904</v>
      </c>
      <c r="G137" s="2" t="s">
        <v>43</v>
      </c>
      <c r="H137" s="2" t="s">
        <v>45</v>
      </c>
      <c r="I137" s="2" t="s">
        <v>40</v>
      </c>
      <c r="J137" s="2" t="s">
        <v>41</v>
      </c>
      <c r="K137" s="2">
        <v>1</v>
      </c>
      <c r="L137" s="2">
        <v>2974.1</v>
      </c>
      <c r="M137" s="2">
        <v>5</v>
      </c>
      <c r="N137" s="2" t="s">
        <v>23</v>
      </c>
      <c r="O137">
        <f t="shared" si="2"/>
        <v>2974.1</v>
      </c>
      <c r="P137">
        <f>O137-(O137*M137/100)</f>
        <v>2825.395</v>
      </c>
    </row>
    <row r="138" spans="5:16" x14ac:dyDescent="0.25">
      <c r="E138" s="2">
        <v>10136</v>
      </c>
      <c r="F138" s="8">
        <v>45807</v>
      </c>
      <c r="G138" s="2" t="s">
        <v>32</v>
      </c>
      <c r="H138" s="2" t="s">
        <v>47</v>
      </c>
      <c r="I138" s="2" t="s">
        <v>12</v>
      </c>
      <c r="J138" s="2" t="s">
        <v>33</v>
      </c>
      <c r="K138" s="2">
        <v>3</v>
      </c>
      <c r="L138" s="2">
        <v>3562.56</v>
      </c>
      <c r="M138" s="2">
        <v>15</v>
      </c>
      <c r="N138" s="2" t="s">
        <v>23</v>
      </c>
      <c r="O138">
        <f t="shared" si="2"/>
        <v>10687.68</v>
      </c>
      <c r="P138">
        <f>O138-(O138*M138/100)</f>
        <v>9084.5280000000002</v>
      </c>
    </row>
    <row r="139" spans="5:16" x14ac:dyDescent="0.25">
      <c r="E139" s="2">
        <v>10137</v>
      </c>
      <c r="F139" s="8">
        <v>45727</v>
      </c>
      <c r="G139" s="2" t="s">
        <v>32</v>
      </c>
      <c r="H139" s="2" t="s">
        <v>11</v>
      </c>
      <c r="I139" s="2" t="s">
        <v>12</v>
      </c>
      <c r="J139" s="2" t="s">
        <v>22</v>
      </c>
      <c r="K139" s="2">
        <v>11</v>
      </c>
      <c r="L139" s="2">
        <v>3975.08</v>
      </c>
      <c r="M139" s="2">
        <v>5</v>
      </c>
      <c r="N139" s="2" t="s">
        <v>19</v>
      </c>
      <c r="O139">
        <f t="shared" si="2"/>
        <v>43725.88</v>
      </c>
      <c r="P139">
        <f>O139-(O139*M139/100)</f>
        <v>41539.585999999996</v>
      </c>
    </row>
    <row r="140" spans="5:16" x14ac:dyDescent="0.25">
      <c r="E140" s="2">
        <v>10138</v>
      </c>
      <c r="F140" s="8">
        <v>45739</v>
      </c>
      <c r="G140" s="2" t="s">
        <v>32</v>
      </c>
      <c r="H140" s="2" t="s">
        <v>45</v>
      </c>
      <c r="I140" s="2" t="s">
        <v>40</v>
      </c>
      <c r="J140" s="2" t="s">
        <v>49</v>
      </c>
      <c r="K140" s="2">
        <v>15</v>
      </c>
      <c r="L140" s="2">
        <v>1660.63</v>
      </c>
      <c r="M140" s="2">
        <v>0</v>
      </c>
      <c r="N140" s="2" t="s">
        <v>26</v>
      </c>
      <c r="O140">
        <f t="shared" si="2"/>
        <v>24909.45</v>
      </c>
      <c r="P140">
        <f>O140-(O140*M140/100)</f>
        <v>24909.45</v>
      </c>
    </row>
    <row r="141" spans="5:16" x14ac:dyDescent="0.25">
      <c r="E141" s="2">
        <v>10139</v>
      </c>
      <c r="F141" s="8">
        <v>45853</v>
      </c>
      <c r="G141" s="2" t="s">
        <v>42</v>
      </c>
      <c r="H141" s="2" t="s">
        <v>11</v>
      </c>
      <c r="I141" s="2" t="s">
        <v>17</v>
      </c>
      <c r="J141" s="2" t="s">
        <v>28</v>
      </c>
      <c r="K141" s="2">
        <v>2</v>
      </c>
      <c r="L141" s="2">
        <v>299.83</v>
      </c>
      <c r="M141" s="2">
        <v>5</v>
      </c>
      <c r="N141" s="2" t="s">
        <v>30</v>
      </c>
      <c r="O141">
        <f t="shared" si="2"/>
        <v>599.66</v>
      </c>
      <c r="P141">
        <f>O141-(O141*M141/100)</f>
        <v>569.67700000000002</v>
      </c>
    </row>
    <row r="142" spans="5:16" x14ac:dyDescent="0.25">
      <c r="E142" s="2">
        <v>10140</v>
      </c>
      <c r="F142" s="8">
        <v>45675</v>
      </c>
      <c r="G142" s="2" t="s">
        <v>54</v>
      </c>
      <c r="H142" s="2" t="s">
        <v>52</v>
      </c>
      <c r="I142" s="2" t="s">
        <v>34</v>
      </c>
      <c r="J142" s="2" t="s">
        <v>44</v>
      </c>
      <c r="K142" s="2">
        <v>18</v>
      </c>
      <c r="L142" s="2">
        <v>3119.42</v>
      </c>
      <c r="M142" s="2">
        <v>5</v>
      </c>
      <c r="N142" s="2" t="s">
        <v>19</v>
      </c>
      <c r="O142">
        <f t="shared" si="2"/>
        <v>56149.56</v>
      </c>
      <c r="P142">
        <f>O142-(O142*M142/100)</f>
        <v>53342.081999999995</v>
      </c>
    </row>
    <row r="143" spans="5:16" x14ac:dyDescent="0.25">
      <c r="E143" s="2">
        <v>10141</v>
      </c>
      <c r="F143" s="8">
        <v>45779</v>
      </c>
      <c r="G143" s="2" t="s">
        <v>39</v>
      </c>
      <c r="H143" s="2" t="s">
        <v>45</v>
      </c>
      <c r="I143" s="2" t="s">
        <v>12</v>
      </c>
      <c r="J143" s="2" t="s">
        <v>56</v>
      </c>
      <c r="K143" s="2">
        <v>1</v>
      </c>
      <c r="L143" s="2">
        <v>1889.13</v>
      </c>
      <c r="M143" s="2">
        <v>0</v>
      </c>
      <c r="N143" s="2" t="s">
        <v>26</v>
      </c>
      <c r="O143">
        <f t="shared" si="2"/>
        <v>1889.13</v>
      </c>
      <c r="P143">
        <f>O143-(O143*M143/100)</f>
        <v>1889.13</v>
      </c>
    </row>
    <row r="144" spans="5:16" x14ac:dyDescent="0.25">
      <c r="E144" s="2">
        <v>10142</v>
      </c>
      <c r="F144" s="8">
        <v>45699</v>
      </c>
      <c r="G144" s="2" t="s">
        <v>42</v>
      </c>
      <c r="H144" s="2" t="s">
        <v>29</v>
      </c>
      <c r="I144" s="2" t="s">
        <v>34</v>
      </c>
      <c r="J144" s="2" t="s">
        <v>44</v>
      </c>
      <c r="K144" s="2">
        <v>6</v>
      </c>
      <c r="L144" s="2">
        <v>4043.27</v>
      </c>
      <c r="M144" s="2">
        <v>10</v>
      </c>
      <c r="N144" s="2" t="s">
        <v>14</v>
      </c>
      <c r="O144">
        <f t="shared" si="2"/>
        <v>24259.62</v>
      </c>
      <c r="P144">
        <f>O144-(O144*M144/100)</f>
        <v>21833.657999999999</v>
      </c>
    </row>
    <row r="145" spans="5:16" x14ac:dyDescent="0.25">
      <c r="E145" s="2">
        <v>10143</v>
      </c>
      <c r="F145" s="8">
        <v>45852</v>
      </c>
      <c r="G145" s="2" t="s">
        <v>42</v>
      </c>
      <c r="H145" s="2" t="s">
        <v>25</v>
      </c>
      <c r="I145" s="2" t="s">
        <v>12</v>
      </c>
      <c r="J145" s="2" t="s">
        <v>56</v>
      </c>
      <c r="K145" s="2">
        <v>17</v>
      </c>
      <c r="L145" s="2">
        <v>1611.1</v>
      </c>
      <c r="M145" s="2">
        <v>0</v>
      </c>
      <c r="N145" s="2" t="s">
        <v>14</v>
      </c>
      <c r="O145">
        <f t="shared" si="2"/>
        <v>27388.699999999997</v>
      </c>
      <c r="P145">
        <f>O145-(O145*M145/100)</f>
        <v>27388.699999999997</v>
      </c>
    </row>
    <row r="146" spans="5:16" x14ac:dyDescent="0.25">
      <c r="E146" s="2">
        <v>10144</v>
      </c>
      <c r="F146" s="8">
        <v>45767</v>
      </c>
      <c r="G146" s="2" t="s">
        <v>39</v>
      </c>
      <c r="H146" s="2" t="s">
        <v>47</v>
      </c>
      <c r="I146" s="2" t="s">
        <v>17</v>
      </c>
      <c r="J146" s="2" t="s">
        <v>55</v>
      </c>
      <c r="K146" s="2">
        <v>12</v>
      </c>
      <c r="L146" s="2">
        <v>1434.69</v>
      </c>
      <c r="M146" s="2">
        <v>15</v>
      </c>
      <c r="N146" s="2" t="s">
        <v>14</v>
      </c>
      <c r="O146">
        <f t="shared" si="2"/>
        <v>17216.28</v>
      </c>
      <c r="P146">
        <f>O146-(O146*M146/100)</f>
        <v>14633.838</v>
      </c>
    </row>
    <row r="147" spans="5:16" x14ac:dyDescent="0.25">
      <c r="E147" s="2">
        <v>10145</v>
      </c>
      <c r="F147" s="8">
        <v>45857</v>
      </c>
      <c r="G147" s="2" t="s">
        <v>10</v>
      </c>
      <c r="H147" s="2" t="s">
        <v>21</v>
      </c>
      <c r="I147" s="2" t="s">
        <v>34</v>
      </c>
      <c r="J147" s="2" t="s">
        <v>50</v>
      </c>
      <c r="K147" s="2">
        <v>17</v>
      </c>
      <c r="L147" s="2">
        <v>594.73</v>
      </c>
      <c r="M147" s="2">
        <v>0</v>
      </c>
      <c r="N147" s="2" t="s">
        <v>19</v>
      </c>
      <c r="O147">
        <f t="shared" si="2"/>
        <v>10110.41</v>
      </c>
      <c r="P147">
        <f>O147-(O147*M147/100)</f>
        <v>10110.41</v>
      </c>
    </row>
    <row r="148" spans="5:16" x14ac:dyDescent="0.25">
      <c r="E148" s="2">
        <v>10146</v>
      </c>
      <c r="F148" s="8">
        <v>45664</v>
      </c>
      <c r="G148" s="2" t="s">
        <v>20</v>
      </c>
      <c r="H148" s="2" t="s">
        <v>51</v>
      </c>
      <c r="I148" s="2" t="s">
        <v>12</v>
      </c>
      <c r="J148" s="2" t="s">
        <v>33</v>
      </c>
      <c r="K148" s="2">
        <v>10</v>
      </c>
      <c r="L148" s="2">
        <v>2346.62</v>
      </c>
      <c r="M148" s="2">
        <v>0</v>
      </c>
      <c r="N148" s="2" t="s">
        <v>26</v>
      </c>
      <c r="O148">
        <f t="shared" si="2"/>
        <v>23466.199999999997</v>
      </c>
      <c r="P148">
        <f>O148-(O148*M148/100)</f>
        <v>23466.199999999997</v>
      </c>
    </row>
    <row r="149" spans="5:16" x14ac:dyDescent="0.25">
      <c r="E149" s="2">
        <v>10147</v>
      </c>
      <c r="F149" s="8">
        <v>45732</v>
      </c>
      <c r="G149" s="2" t="s">
        <v>32</v>
      </c>
      <c r="H149" s="2" t="s">
        <v>37</v>
      </c>
      <c r="I149" s="2" t="s">
        <v>34</v>
      </c>
      <c r="J149" s="2" t="s">
        <v>35</v>
      </c>
      <c r="K149" s="2">
        <v>19</v>
      </c>
      <c r="L149" s="2">
        <v>2837.04</v>
      </c>
      <c r="M149" s="2">
        <v>10</v>
      </c>
      <c r="N149" s="2" t="s">
        <v>14</v>
      </c>
      <c r="O149">
        <f t="shared" si="2"/>
        <v>53903.76</v>
      </c>
      <c r="P149">
        <f>O149-(O149*M149/100)</f>
        <v>48513.384000000005</v>
      </c>
    </row>
    <row r="150" spans="5:16" x14ac:dyDescent="0.25">
      <c r="E150" s="2">
        <v>10148</v>
      </c>
      <c r="F150" s="8">
        <v>45900</v>
      </c>
      <c r="G150" s="2" t="s">
        <v>10</v>
      </c>
      <c r="H150" s="2" t="s">
        <v>51</v>
      </c>
      <c r="I150" s="2" t="s">
        <v>17</v>
      </c>
      <c r="J150" s="2" t="s">
        <v>36</v>
      </c>
      <c r="K150" s="2">
        <v>9</v>
      </c>
      <c r="L150" s="2">
        <v>3500.27</v>
      </c>
      <c r="M150" s="2">
        <v>15</v>
      </c>
      <c r="N150" s="2" t="s">
        <v>23</v>
      </c>
      <c r="O150">
        <f t="shared" si="2"/>
        <v>31502.43</v>
      </c>
      <c r="P150">
        <f>O150-(O150*M150/100)</f>
        <v>26777.065500000001</v>
      </c>
    </row>
    <row r="151" spans="5:16" x14ac:dyDescent="0.25">
      <c r="E151" s="2">
        <v>10149</v>
      </c>
      <c r="F151" s="8">
        <v>45693</v>
      </c>
      <c r="G151" s="2" t="s">
        <v>48</v>
      </c>
      <c r="H151" s="2" t="s">
        <v>52</v>
      </c>
      <c r="I151" s="2" t="s">
        <v>34</v>
      </c>
      <c r="J151" s="2" t="s">
        <v>38</v>
      </c>
      <c r="K151" s="2">
        <v>15</v>
      </c>
      <c r="L151" s="2">
        <v>4721.08</v>
      </c>
      <c r="M151" s="2">
        <v>10</v>
      </c>
      <c r="N151" s="2" t="s">
        <v>30</v>
      </c>
      <c r="O151">
        <f t="shared" si="2"/>
        <v>70816.2</v>
      </c>
      <c r="P151">
        <f>O151-(O151*M151/100)</f>
        <v>63734.579999999994</v>
      </c>
    </row>
    <row r="152" spans="5:16" x14ac:dyDescent="0.25">
      <c r="E152" s="2">
        <v>10150</v>
      </c>
      <c r="F152" s="8">
        <v>45774</v>
      </c>
      <c r="G152" s="2" t="s">
        <v>54</v>
      </c>
      <c r="H152" s="2" t="s">
        <v>45</v>
      </c>
      <c r="I152" s="2" t="s">
        <v>40</v>
      </c>
      <c r="J152" s="2" t="s">
        <v>53</v>
      </c>
      <c r="K152" s="2">
        <v>17</v>
      </c>
      <c r="L152" s="2">
        <v>4930.3999999999996</v>
      </c>
      <c r="M152" s="2">
        <v>0</v>
      </c>
      <c r="N152" s="2" t="s">
        <v>19</v>
      </c>
      <c r="O152">
        <f t="shared" si="2"/>
        <v>83816.799999999988</v>
      </c>
      <c r="P152">
        <f>O152-(O152*M152/100)</f>
        <v>83816.799999999988</v>
      </c>
    </row>
    <row r="153" spans="5:16" x14ac:dyDescent="0.25">
      <c r="E153" s="2">
        <v>10151</v>
      </c>
      <c r="F153" s="8">
        <v>45890</v>
      </c>
      <c r="G153" s="2" t="s">
        <v>10</v>
      </c>
      <c r="H153" s="2" t="s">
        <v>47</v>
      </c>
      <c r="I153" s="2" t="s">
        <v>34</v>
      </c>
      <c r="J153" s="2" t="s">
        <v>35</v>
      </c>
      <c r="K153" s="2">
        <v>14</v>
      </c>
      <c r="L153" s="2">
        <v>3753.86</v>
      </c>
      <c r="M153" s="2">
        <v>10</v>
      </c>
      <c r="N153" s="2" t="s">
        <v>14</v>
      </c>
      <c r="O153">
        <f t="shared" si="2"/>
        <v>52554.04</v>
      </c>
      <c r="P153">
        <f>O153-(O153*M153/100)</f>
        <v>47298.635999999999</v>
      </c>
    </row>
    <row r="154" spans="5:16" x14ac:dyDescent="0.25">
      <c r="E154" s="2">
        <v>10152</v>
      </c>
      <c r="F154" s="8">
        <v>45847</v>
      </c>
      <c r="G154" s="2" t="s">
        <v>32</v>
      </c>
      <c r="H154" s="2" t="s">
        <v>29</v>
      </c>
      <c r="I154" s="2" t="s">
        <v>12</v>
      </c>
      <c r="J154" s="2" t="s">
        <v>56</v>
      </c>
      <c r="K154" s="2">
        <v>1</v>
      </c>
      <c r="L154" s="2">
        <v>1116.24</v>
      </c>
      <c r="M154" s="2">
        <v>15</v>
      </c>
      <c r="N154" s="2" t="s">
        <v>30</v>
      </c>
      <c r="O154">
        <f t="shared" si="2"/>
        <v>1116.24</v>
      </c>
      <c r="P154">
        <f>O154-(O154*M154/100)</f>
        <v>948.80400000000009</v>
      </c>
    </row>
    <row r="155" spans="5:16" x14ac:dyDescent="0.25">
      <c r="E155" s="2">
        <v>10153</v>
      </c>
      <c r="F155" s="8">
        <v>45917</v>
      </c>
      <c r="G155" s="2" t="s">
        <v>39</v>
      </c>
      <c r="H155" s="2" t="s">
        <v>51</v>
      </c>
      <c r="I155" s="2" t="s">
        <v>34</v>
      </c>
      <c r="J155" s="2" t="s">
        <v>38</v>
      </c>
      <c r="K155" s="2">
        <v>11</v>
      </c>
      <c r="L155" s="2">
        <v>2584.33</v>
      </c>
      <c r="M155" s="2">
        <v>0</v>
      </c>
      <c r="N155" s="2" t="s">
        <v>30</v>
      </c>
      <c r="O155">
        <f t="shared" si="2"/>
        <v>28427.629999999997</v>
      </c>
      <c r="P155">
        <f>O155-(O155*M155/100)</f>
        <v>28427.629999999997</v>
      </c>
    </row>
    <row r="156" spans="5:16" x14ac:dyDescent="0.25">
      <c r="E156" s="2">
        <v>10154</v>
      </c>
      <c r="F156" s="8">
        <v>45931</v>
      </c>
      <c r="G156" s="2" t="s">
        <v>48</v>
      </c>
      <c r="H156" s="2" t="s">
        <v>29</v>
      </c>
      <c r="I156" s="2" t="s">
        <v>17</v>
      </c>
      <c r="J156" s="2" t="s">
        <v>55</v>
      </c>
      <c r="K156" s="2">
        <v>13</v>
      </c>
      <c r="L156" s="2">
        <v>3808.65</v>
      </c>
      <c r="M156" s="2">
        <v>15</v>
      </c>
      <c r="N156" s="2" t="s">
        <v>30</v>
      </c>
      <c r="O156">
        <f t="shared" si="2"/>
        <v>49512.450000000004</v>
      </c>
      <c r="P156">
        <f>O156-(O156*M156/100)</f>
        <v>42085.582500000004</v>
      </c>
    </row>
    <row r="157" spans="5:16" x14ac:dyDescent="0.25">
      <c r="E157" s="2">
        <v>10155</v>
      </c>
      <c r="F157" s="8">
        <v>45889</v>
      </c>
      <c r="G157" s="2" t="s">
        <v>24</v>
      </c>
      <c r="H157" s="2" t="s">
        <v>47</v>
      </c>
      <c r="I157" s="2" t="s">
        <v>17</v>
      </c>
      <c r="J157" s="2" t="s">
        <v>36</v>
      </c>
      <c r="K157" s="2">
        <v>11</v>
      </c>
      <c r="L157" s="2">
        <v>548.29</v>
      </c>
      <c r="M157" s="2">
        <v>5</v>
      </c>
      <c r="N157" s="2" t="s">
        <v>19</v>
      </c>
      <c r="O157">
        <f t="shared" si="2"/>
        <v>6031.19</v>
      </c>
      <c r="P157">
        <f>O157-(O157*M157/100)</f>
        <v>5729.6304999999993</v>
      </c>
    </row>
    <row r="158" spans="5:16" x14ac:dyDescent="0.25">
      <c r="E158" s="2">
        <v>10156</v>
      </c>
      <c r="F158" s="8">
        <v>45860</v>
      </c>
      <c r="G158" s="2" t="s">
        <v>54</v>
      </c>
      <c r="H158" s="2" t="s">
        <v>47</v>
      </c>
      <c r="I158" s="2" t="s">
        <v>17</v>
      </c>
      <c r="J158" s="2" t="s">
        <v>55</v>
      </c>
      <c r="K158" s="2">
        <v>15</v>
      </c>
      <c r="L158" s="2">
        <v>3132.66</v>
      </c>
      <c r="M158" s="2">
        <v>0</v>
      </c>
      <c r="N158" s="2" t="s">
        <v>19</v>
      </c>
      <c r="O158">
        <f t="shared" si="2"/>
        <v>46989.899999999994</v>
      </c>
      <c r="P158">
        <f>O158-(O158*M158/100)</f>
        <v>46989.899999999994</v>
      </c>
    </row>
    <row r="159" spans="5:16" x14ac:dyDescent="0.25">
      <c r="E159" s="2">
        <v>10157</v>
      </c>
      <c r="F159" s="8">
        <v>45857</v>
      </c>
      <c r="G159" s="2" t="s">
        <v>15</v>
      </c>
      <c r="H159" s="2" t="s">
        <v>21</v>
      </c>
      <c r="I159" s="2" t="s">
        <v>34</v>
      </c>
      <c r="J159" s="2" t="s">
        <v>50</v>
      </c>
      <c r="K159" s="2">
        <v>8</v>
      </c>
      <c r="L159" s="2">
        <v>3504.16</v>
      </c>
      <c r="M159" s="2">
        <v>15</v>
      </c>
      <c r="N159" s="2" t="s">
        <v>26</v>
      </c>
      <c r="O159">
        <f t="shared" si="2"/>
        <v>28033.279999999999</v>
      </c>
      <c r="P159">
        <f>O159-(O159*M159/100)</f>
        <v>23828.288</v>
      </c>
    </row>
    <row r="160" spans="5:16" x14ac:dyDescent="0.25">
      <c r="E160" s="2">
        <v>10158</v>
      </c>
      <c r="F160" s="8">
        <v>45716</v>
      </c>
      <c r="G160" s="2" t="s">
        <v>43</v>
      </c>
      <c r="H160" s="2" t="s">
        <v>29</v>
      </c>
      <c r="I160" s="2" t="s">
        <v>17</v>
      </c>
      <c r="J160" s="2" t="s">
        <v>28</v>
      </c>
      <c r="K160" s="2">
        <v>17</v>
      </c>
      <c r="L160" s="2">
        <v>2766.45</v>
      </c>
      <c r="M160" s="2">
        <v>5</v>
      </c>
      <c r="N160" s="2" t="s">
        <v>14</v>
      </c>
      <c r="O160">
        <f t="shared" si="2"/>
        <v>47029.649999999994</v>
      </c>
      <c r="P160">
        <f>O160-(O160*M160/100)</f>
        <v>44678.167499999996</v>
      </c>
    </row>
    <row r="161" spans="5:16" x14ac:dyDescent="0.25">
      <c r="E161" s="2">
        <v>10159</v>
      </c>
      <c r="F161" s="8">
        <v>45687</v>
      </c>
      <c r="G161" s="2" t="s">
        <v>43</v>
      </c>
      <c r="H161" s="2" t="s">
        <v>37</v>
      </c>
      <c r="I161" s="2" t="s">
        <v>34</v>
      </c>
      <c r="J161" s="2" t="s">
        <v>50</v>
      </c>
      <c r="K161" s="2">
        <v>16</v>
      </c>
      <c r="L161" s="2">
        <v>3513.68</v>
      </c>
      <c r="M161" s="2">
        <v>10</v>
      </c>
      <c r="N161" s="2" t="s">
        <v>14</v>
      </c>
      <c r="O161">
        <f t="shared" si="2"/>
        <v>56218.879999999997</v>
      </c>
      <c r="P161">
        <f>O161-(O161*M161/100)</f>
        <v>50596.991999999998</v>
      </c>
    </row>
    <row r="162" spans="5:16" x14ac:dyDescent="0.25">
      <c r="E162" s="2">
        <v>10160</v>
      </c>
      <c r="F162" s="8">
        <v>45904</v>
      </c>
      <c r="G162" s="2" t="s">
        <v>15</v>
      </c>
      <c r="H162" s="2" t="s">
        <v>21</v>
      </c>
      <c r="I162" s="2" t="s">
        <v>17</v>
      </c>
      <c r="J162" s="2" t="s">
        <v>28</v>
      </c>
      <c r="K162" s="2">
        <v>1</v>
      </c>
      <c r="L162" s="2">
        <v>2743.23</v>
      </c>
      <c r="M162" s="2">
        <v>0</v>
      </c>
      <c r="N162" s="2" t="s">
        <v>30</v>
      </c>
      <c r="O162">
        <f t="shared" si="2"/>
        <v>2743.23</v>
      </c>
      <c r="P162">
        <f>O162-(O162*M162/100)</f>
        <v>2743.23</v>
      </c>
    </row>
    <row r="163" spans="5:16" x14ac:dyDescent="0.25">
      <c r="E163" s="2">
        <v>10161</v>
      </c>
      <c r="F163" s="8">
        <v>46008</v>
      </c>
      <c r="G163" s="2" t="s">
        <v>42</v>
      </c>
      <c r="H163" s="2" t="s">
        <v>45</v>
      </c>
      <c r="I163" s="2" t="s">
        <v>17</v>
      </c>
      <c r="J163" s="2" t="s">
        <v>18</v>
      </c>
      <c r="K163" s="2">
        <v>7</v>
      </c>
      <c r="L163" s="2">
        <v>1526.59</v>
      </c>
      <c r="M163" s="2">
        <v>10</v>
      </c>
      <c r="N163" s="2" t="s">
        <v>14</v>
      </c>
      <c r="O163">
        <f t="shared" si="2"/>
        <v>10686.13</v>
      </c>
      <c r="P163">
        <f>O163-(O163*M163/100)</f>
        <v>9617.5169999999998</v>
      </c>
    </row>
    <row r="164" spans="5:16" x14ac:dyDescent="0.25">
      <c r="E164" s="2">
        <v>10162</v>
      </c>
      <c r="F164" s="8">
        <v>45818</v>
      </c>
      <c r="G164" s="2" t="s">
        <v>39</v>
      </c>
      <c r="H164" s="2" t="s">
        <v>45</v>
      </c>
      <c r="I164" s="2" t="s">
        <v>17</v>
      </c>
      <c r="J164" s="2" t="s">
        <v>18</v>
      </c>
      <c r="K164" s="2">
        <v>13</v>
      </c>
      <c r="L164" s="2">
        <v>2409.2600000000002</v>
      </c>
      <c r="M164" s="2">
        <v>5</v>
      </c>
      <c r="N164" s="2" t="s">
        <v>26</v>
      </c>
      <c r="O164">
        <f t="shared" si="2"/>
        <v>31320.380000000005</v>
      </c>
      <c r="P164">
        <f>O164-(O164*M164/100)</f>
        <v>29754.361000000004</v>
      </c>
    </row>
    <row r="165" spans="5:16" x14ac:dyDescent="0.25">
      <c r="E165" s="2">
        <v>10163</v>
      </c>
      <c r="F165" s="8">
        <v>45957</v>
      </c>
      <c r="G165" s="2" t="s">
        <v>24</v>
      </c>
      <c r="H165" s="2" t="s">
        <v>29</v>
      </c>
      <c r="I165" s="2" t="s">
        <v>40</v>
      </c>
      <c r="J165" s="2" t="s">
        <v>49</v>
      </c>
      <c r="K165" s="2">
        <v>12</v>
      </c>
      <c r="L165" s="2">
        <v>532.26</v>
      </c>
      <c r="M165" s="2">
        <v>20</v>
      </c>
      <c r="N165" s="2" t="s">
        <v>26</v>
      </c>
      <c r="O165">
        <f t="shared" si="2"/>
        <v>6387.12</v>
      </c>
      <c r="P165">
        <f>O165-(O165*M165/100)</f>
        <v>5109.6959999999999</v>
      </c>
    </row>
    <row r="166" spans="5:16" x14ac:dyDescent="0.25">
      <c r="E166" s="2">
        <v>10164</v>
      </c>
      <c r="F166" s="8">
        <v>45790</v>
      </c>
      <c r="G166" s="2" t="s">
        <v>27</v>
      </c>
      <c r="H166" s="2" t="s">
        <v>21</v>
      </c>
      <c r="I166" s="2" t="s">
        <v>34</v>
      </c>
      <c r="J166" s="2" t="s">
        <v>44</v>
      </c>
      <c r="K166" s="2">
        <v>3</v>
      </c>
      <c r="L166" s="2">
        <v>4959.3900000000003</v>
      </c>
      <c r="M166" s="2">
        <v>5</v>
      </c>
      <c r="N166" s="2" t="s">
        <v>14</v>
      </c>
      <c r="O166">
        <f t="shared" si="2"/>
        <v>14878.170000000002</v>
      </c>
      <c r="P166">
        <f>O166-(O166*M166/100)</f>
        <v>14134.261500000002</v>
      </c>
    </row>
    <row r="167" spans="5:16" x14ac:dyDescent="0.25">
      <c r="E167" s="2">
        <v>10165</v>
      </c>
      <c r="F167" s="8">
        <v>45713</v>
      </c>
      <c r="G167" s="2" t="s">
        <v>27</v>
      </c>
      <c r="H167" s="2" t="s">
        <v>52</v>
      </c>
      <c r="I167" s="2" t="s">
        <v>17</v>
      </c>
      <c r="J167" s="2" t="s">
        <v>55</v>
      </c>
      <c r="K167" s="2">
        <v>1</v>
      </c>
      <c r="L167" s="2">
        <v>612.88</v>
      </c>
      <c r="M167" s="2">
        <v>20</v>
      </c>
      <c r="N167" s="2" t="s">
        <v>26</v>
      </c>
      <c r="O167">
        <f t="shared" si="2"/>
        <v>612.88</v>
      </c>
      <c r="P167">
        <f>O167-(O167*M167/100)</f>
        <v>490.30399999999997</v>
      </c>
    </row>
    <row r="168" spans="5:16" x14ac:dyDescent="0.25">
      <c r="E168" s="2">
        <v>10166</v>
      </c>
      <c r="F168" s="8">
        <v>45706</v>
      </c>
      <c r="G168" s="2" t="s">
        <v>27</v>
      </c>
      <c r="H168" s="2" t="s">
        <v>11</v>
      </c>
      <c r="I168" s="2" t="s">
        <v>17</v>
      </c>
      <c r="J168" s="2" t="s">
        <v>55</v>
      </c>
      <c r="K168" s="2">
        <v>12</v>
      </c>
      <c r="L168" s="2">
        <v>2740.53</v>
      </c>
      <c r="M168" s="2">
        <v>10</v>
      </c>
      <c r="N168" s="2" t="s">
        <v>23</v>
      </c>
      <c r="O168">
        <f t="shared" si="2"/>
        <v>32886.36</v>
      </c>
      <c r="P168">
        <f>O168-(O168*M168/100)</f>
        <v>29597.724000000002</v>
      </c>
    </row>
    <row r="169" spans="5:16" x14ac:dyDescent="0.25">
      <c r="E169" s="2">
        <v>10167</v>
      </c>
      <c r="F169" s="8">
        <v>45874</v>
      </c>
      <c r="G169" s="2" t="s">
        <v>48</v>
      </c>
      <c r="H169" s="2" t="s">
        <v>37</v>
      </c>
      <c r="I169" s="2" t="s">
        <v>17</v>
      </c>
      <c r="J169" s="2" t="s">
        <v>28</v>
      </c>
      <c r="K169" s="2">
        <v>15</v>
      </c>
      <c r="L169" s="2">
        <v>2511.58</v>
      </c>
      <c r="M169" s="2">
        <v>5</v>
      </c>
      <c r="N169" s="2" t="s">
        <v>26</v>
      </c>
      <c r="O169">
        <f t="shared" si="2"/>
        <v>37673.699999999997</v>
      </c>
      <c r="P169">
        <f>O169-(O169*M169/100)</f>
        <v>35790.014999999999</v>
      </c>
    </row>
    <row r="170" spans="5:16" x14ac:dyDescent="0.25">
      <c r="E170" s="2">
        <v>10168</v>
      </c>
      <c r="F170" s="8">
        <v>45666</v>
      </c>
      <c r="G170" s="2" t="s">
        <v>27</v>
      </c>
      <c r="H170" s="2" t="s">
        <v>25</v>
      </c>
      <c r="I170" s="2" t="s">
        <v>12</v>
      </c>
      <c r="J170" s="2" t="s">
        <v>33</v>
      </c>
      <c r="K170" s="2">
        <v>19</v>
      </c>
      <c r="L170" s="2">
        <v>4924.0600000000004</v>
      </c>
      <c r="M170" s="2">
        <v>15</v>
      </c>
      <c r="N170" s="2" t="s">
        <v>19</v>
      </c>
      <c r="O170">
        <f t="shared" si="2"/>
        <v>93557.140000000014</v>
      </c>
      <c r="P170">
        <f>O170-(O170*M170/100)</f>
        <v>79523.569000000018</v>
      </c>
    </row>
    <row r="171" spans="5:16" x14ac:dyDescent="0.25">
      <c r="E171" s="2">
        <v>10169</v>
      </c>
      <c r="F171" s="8">
        <v>45927</v>
      </c>
      <c r="G171" s="2" t="s">
        <v>42</v>
      </c>
      <c r="H171" s="2" t="s">
        <v>21</v>
      </c>
      <c r="I171" s="2" t="s">
        <v>17</v>
      </c>
      <c r="J171" s="2" t="s">
        <v>55</v>
      </c>
      <c r="K171" s="2">
        <v>2</v>
      </c>
      <c r="L171" s="2">
        <v>1414.24</v>
      </c>
      <c r="M171" s="2">
        <v>20</v>
      </c>
      <c r="N171" s="2" t="s">
        <v>26</v>
      </c>
      <c r="O171">
        <f t="shared" si="2"/>
        <v>2828.48</v>
      </c>
      <c r="P171">
        <f>O171-(O171*M171/100)</f>
        <v>2262.7840000000001</v>
      </c>
    </row>
    <row r="172" spans="5:16" x14ac:dyDescent="0.25">
      <c r="E172" s="2">
        <v>10170</v>
      </c>
      <c r="F172" s="8">
        <v>45980</v>
      </c>
      <c r="G172" s="2" t="s">
        <v>27</v>
      </c>
      <c r="H172" s="2" t="s">
        <v>29</v>
      </c>
      <c r="I172" s="2" t="s">
        <v>40</v>
      </c>
      <c r="J172" s="2" t="s">
        <v>41</v>
      </c>
      <c r="K172" s="2">
        <v>14</v>
      </c>
      <c r="L172" s="2">
        <v>3779.62</v>
      </c>
      <c r="M172" s="2">
        <v>5</v>
      </c>
      <c r="N172" s="2" t="s">
        <v>30</v>
      </c>
      <c r="O172">
        <f t="shared" si="2"/>
        <v>52914.68</v>
      </c>
      <c r="P172">
        <f>O172-(O172*M172/100)</f>
        <v>50268.945999999996</v>
      </c>
    </row>
    <row r="173" spans="5:16" x14ac:dyDescent="0.25">
      <c r="E173" s="2">
        <v>10171</v>
      </c>
      <c r="F173" s="8">
        <v>45679</v>
      </c>
      <c r="G173" s="2" t="s">
        <v>20</v>
      </c>
      <c r="H173" s="2" t="s">
        <v>21</v>
      </c>
      <c r="I173" s="2" t="s">
        <v>34</v>
      </c>
      <c r="J173" s="2" t="s">
        <v>50</v>
      </c>
      <c r="K173" s="2">
        <v>1</v>
      </c>
      <c r="L173" s="2">
        <v>1052.05</v>
      </c>
      <c r="M173" s="2">
        <v>10</v>
      </c>
      <c r="N173" s="2" t="s">
        <v>23</v>
      </c>
      <c r="O173">
        <f t="shared" si="2"/>
        <v>1052.05</v>
      </c>
      <c r="P173">
        <f>O173-(O173*M173/100)</f>
        <v>946.84499999999991</v>
      </c>
    </row>
    <row r="174" spans="5:16" x14ac:dyDescent="0.25">
      <c r="E174" s="2">
        <v>10172</v>
      </c>
      <c r="F174" s="8">
        <v>45820</v>
      </c>
      <c r="G174" s="2" t="s">
        <v>15</v>
      </c>
      <c r="H174" s="2" t="s">
        <v>52</v>
      </c>
      <c r="I174" s="2" t="s">
        <v>12</v>
      </c>
      <c r="J174" s="2" t="s">
        <v>56</v>
      </c>
      <c r="K174" s="2">
        <v>7</v>
      </c>
      <c r="L174" s="2">
        <v>2995.78</v>
      </c>
      <c r="M174" s="2">
        <v>20</v>
      </c>
      <c r="N174" s="2" t="s">
        <v>26</v>
      </c>
      <c r="O174">
        <f t="shared" si="2"/>
        <v>20970.460000000003</v>
      </c>
      <c r="P174">
        <f>O174-(O174*M174/100)</f>
        <v>16776.368000000002</v>
      </c>
    </row>
    <row r="175" spans="5:16" x14ac:dyDescent="0.25">
      <c r="E175" s="2">
        <v>10173</v>
      </c>
      <c r="F175" s="8">
        <v>45832</v>
      </c>
      <c r="G175" s="2" t="s">
        <v>32</v>
      </c>
      <c r="H175" s="2" t="s">
        <v>45</v>
      </c>
      <c r="I175" s="2" t="s">
        <v>34</v>
      </c>
      <c r="J175" s="2" t="s">
        <v>50</v>
      </c>
      <c r="K175" s="2">
        <v>17</v>
      </c>
      <c r="L175" s="2">
        <v>669.79</v>
      </c>
      <c r="M175" s="2">
        <v>15</v>
      </c>
      <c r="N175" s="2" t="s">
        <v>19</v>
      </c>
      <c r="O175">
        <f t="shared" si="2"/>
        <v>11386.43</v>
      </c>
      <c r="P175">
        <f>O175-(O175*M175/100)</f>
        <v>9678.4655000000002</v>
      </c>
    </row>
    <row r="176" spans="5:16" x14ac:dyDescent="0.25">
      <c r="E176" s="2">
        <v>10174</v>
      </c>
      <c r="F176" s="8">
        <v>46013</v>
      </c>
      <c r="G176" s="2" t="s">
        <v>27</v>
      </c>
      <c r="H176" s="2" t="s">
        <v>45</v>
      </c>
      <c r="I176" s="2" t="s">
        <v>12</v>
      </c>
      <c r="J176" s="2" t="s">
        <v>22</v>
      </c>
      <c r="K176" s="2">
        <v>1</v>
      </c>
      <c r="L176" s="2">
        <v>448.66</v>
      </c>
      <c r="M176" s="2">
        <v>20</v>
      </c>
      <c r="N176" s="2" t="s">
        <v>14</v>
      </c>
      <c r="O176">
        <f t="shared" si="2"/>
        <v>448.66</v>
      </c>
      <c r="P176">
        <f>O176-(O176*M176/100)</f>
        <v>358.928</v>
      </c>
    </row>
    <row r="177" spans="5:16" x14ac:dyDescent="0.25">
      <c r="E177" s="2">
        <v>10175</v>
      </c>
      <c r="F177" s="8">
        <v>45987</v>
      </c>
      <c r="G177" s="2" t="s">
        <v>32</v>
      </c>
      <c r="H177" s="2" t="s">
        <v>29</v>
      </c>
      <c r="I177" s="2" t="s">
        <v>34</v>
      </c>
      <c r="J177" s="2" t="s">
        <v>50</v>
      </c>
      <c r="K177" s="2">
        <v>11</v>
      </c>
      <c r="L177" s="2">
        <v>4304.08</v>
      </c>
      <c r="M177" s="2">
        <v>20</v>
      </c>
      <c r="N177" s="2" t="s">
        <v>19</v>
      </c>
      <c r="O177">
        <f t="shared" si="2"/>
        <v>47344.88</v>
      </c>
      <c r="P177">
        <f>O177-(O177*M177/100)</f>
        <v>37875.903999999995</v>
      </c>
    </row>
    <row r="178" spans="5:16" x14ac:dyDescent="0.25">
      <c r="E178" s="2">
        <v>10176</v>
      </c>
      <c r="F178" s="8">
        <v>45715</v>
      </c>
      <c r="G178" s="2" t="s">
        <v>24</v>
      </c>
      <c r="H178" s="2" t="s">
        <v>11</v>
      </c>
      <c r="I178" s="2" t="s">
        <v>12</v>
      </c>
      <c r="J178" s="2" t="s">
        <v>56</v>
      </c>
      <c r="K178" s="2">
        <v>13</v>
      </c>
      <c r="L178" s="2">
        <v>4451.5200000000004</v>
      </c>
      <c r="M178" s="2">
        <v>0</v>
      </c>
      <c r="N178" s="2" t="s">
        <v>14</v>
      </c>
      <c r="O178">
        <f t="shared" si="2"/>
        <v>57869.760000000009</v>
      </c>
      <c r="P178">
        <f>O178-(O178*M178/100)</f>
        <v>57869.760000000009</v>
      </c>
    </row>
    <row r="179" spans="5:16" x14ac:dyDescent="0.25">
      <c r="E179" s="2">
        <v>10177</v>
      </c>
      <c r="F179" s="8">
        <v>45684</v>
      </c>
      <c r="G179" s="2" t="s">
        <v>32</v>
      </c>
      <c r="H179" s="2" t="s">
        <v>16</v>
      </c>
      <c r="I179" s="2" t="s">
        <v>12</v>
      </c>
      <c r="J179" s="2" t="s">
        <v>22</v>
      </c>
      <c r="K179" s="2">
        <v>16</v>
      </c>
      <c r="L179" s="2">
        <v>4012.13</v>
      </c>
      <c r="M179" s="2">
        <v>20</v>
      </c>
      <c r="N179" s="2" t="s">
        <v>14</v>
      </c>
      <c r="O179">
        <f t="shared" si="2"/>
        <v>64194.080000000002</v>
      </c>
      <c r="P179">
        <f>O179-(O179*M179/100)</f>
        <v>51355.264000000003</v>
      </c>
    </row>
    <row r="180" spans="5:16" x14ac:dyDescent="0.25">
      <c r="E180" s="2">
        <v>10178</v>
      </c>
      <c r="F180" s="8">
        <v>45846</v>
      </c>
      <c r="G180" s="2" t="s">
        <v>15</v>
      </c>
      <c r="H180" s="2" t="s">
        <v>37</v>
      </c>
      <c r="I180" s="2" t="s">
        <v>34</v>
      </c>
      <c r="J180" s="2" t="s">
        <v>44</v>
      </c>
      <c r="K180" s="2">
        <v>14</v>
      </c>
      <c r="L180" s="2">
        <v>3031.07</v>
      </c>
      <c r="M180" s="2">
        <v>20</v>
      </c>
      <c r="N180" s="2" t="s">
        <v>14</v>
      </c>
      <c r="O180">
        <f t="shared" si="2"/>
        <v>42434.98</v>
      </c>
      <c r="P180">
        <f>O180-(O180*M180/100)</f>
        <v>33947.984000000004</v>
      </c>
    </row>
    <row r="181" spans="5:16" x14ac:dyDescent="0.25">
      <c r="E181" s="2">
        <v>10179</v>
      </c>
      <c r="F181" s="8">
        <v>45679</v>
      </c>
      <c r="G181" s="2" t="s">
        <v>24</v>
      </c>
      <c r="H181" s="2" t="s">
        <v>47</v>
      </c>
      <c r="I181" s="2" t="s">
        <v>17</v>
      </c>
      <c r="J181" s="2" t="s">
        <v>36</v>
      </c>
      <c r="K181" s="2">
        <v>5</v>
      </c>
      <c r="L181" s="2">
        <v>3646.09</v>
      </c>
      <c r="M181" s="2">
        <v>10</v>
      </c>
      <c r="N181" s="2" t="s">
        <v>19</v>
      </c>
      <c r="O181">
        <f t="shared" si="2"/>
        <v>18230.45</v>
      </c>
      <c r="P181">
        <f>O181-(O181*M181/100)</f>
        <v>16407.404999999999</v>
      </c>
    </row>
    <row r="182" spans="5:16" x14ac:dyDescent="0.25">
      <c r="E182" s="2">
        <v>10180</v>
      </c>
      <c r="F182" s="8">
        <v>45906</v>
      </c>
      <c r="G182" s="2" t="s">
        <v>43</v>
      </c>
      <c r="H182" s="2" t="s">
        <v>47</v>
      </c>
      <c r="I182" s="2" t="s">
        <v>34</v>
      </c>
      <c r="J182" s="2" t="s">
        <v>35</v>
      </c>
      <c r="K182" s="2">
        <v>15</v>
      </c>
      <c r="L182" s="2">
        <v>2939.8</v>
      </c>
      <c r="M182" s="2">
        <v>10</v>
      </c>
      <c r="N182" s="2" t="s">
        <v>19</v>
      </c>
      <c r="O182">
        <f t="shared" si="2"/>
        <v>44097</v>
      </c>
      <c r="P182">
        <f>O182-(O182*M182/100)</f>
        <v>39687.300000000003</v>
      </c>
    </row>
    <row r="183" spans="5:16" x14ac:dyDescent="0.25">
      <c r="E183" s="2">
        <v>10181</v>
      </c>
      <c r="F183" s="8">
        <v>45900</v>
      </c>
      <c r="G183" s="2" t="s">
        <v>10</v>
      </c>
      <c r="H183" s="2" t="s">
        <v>47</v>
      </c>
      <c r="I183" s="2" t="s">
        <v>12</v>
      </c>
      <c r="J183" s="2" t="s">
        <v>33</v>
      </c>
      <c r="K183" s="2">
        <v>7</v>
      </c>
      <c r="L183" s="2">
        <v>3232.3</v>
      </c>
      <c r="M183" s="2">
        <v>20</v>
      </c>
      <c r="N183" s="2" t="s">
        <v>19</v>
      </c>
      <c r="O183">
        <f t="shared" si="2"/>
        <v>22626.100000000002</v>
      </c>
      <c r="P183">
        <f>O183-(O183*M183/100)</f>
        <v>18100.88</v>
      </c>
    </row>
    <row r="184" spans="5:16" x14ac:dyDescent="0.25">
      <c r="E184" s="2">
        <v>10182</v>
      </c>
      <c r="F184" s="8">
        <v>45970</v>
      </c>
      <c r="G184" s="2" t="s">
        <v>48</v>
      </c>
      <c r="H184" s="2" t="s">
        <v>45</v>
      </c>
      <c r="I184" s="2" t="s">
        <v>12</v>
      </c>
      <c r="J184" s="2" t="s">
        <v>22</v>
      </c>
      <c r="K184" s="2">
        <v>8</v>
      </c>
      <c r="L184" s="2">
        <v>4640.58</v>
      </c>
      <c r="M184" s="2">
        <v>0</v>
      </c>
      <c r="N184" s="2" t="s">
        <v>30</v>
      </c>
      <c r="O184">
        <f t="shared" si="2"/>
        <v>37124.639999999999</v>
      </c>
      <c r="P184">
        <f>O184-(O184*M184/100)</f>
        <v>37124.639999999999</v>
      </c>
    </row>
    <row r="185" spans="5:16" x14ac:dyDescent="0.25">
      <c r="E185" s="2">
        <v>10183</v>
      </c>
      <c r="F185" s="8">
        <v>45669</v>
      </c>
      <c r="G185" s="2" t="s">
        <v>54</v>
      </c>
      <c r="H185" s="2" t="s">
        <v>21</v>
      </c>
      <c r="I185" s="2" t="s">
        <v>17</v>
      </c>
      <c r="J185" s="2" t="s">
        <v>36</v>
      </c>
      <c r="K185" s="2">
        <v>17</v>
      </c>
      <c r="L185" s="2">
        <v>3377.86</v>
      </c>
      <c r="M185" s="2">
        <v>0</v>
      </c>
      <c r="N185" s="2" t="s">
        <v>19</v>
      </c>
      <c r="O185">
        <f t="shared" si="2"/>
        <v>57423.62</v>
      </c>
      <c r="P185">
        <f>O185-(O185*M185/100)</f>
        <v>57423.62</v>
      </c>
    </row>
    <row r="186" spans="5:16" x14ac:dyDescent="0.25">
      <c r="E186" s="2">
        <v>10184</v>
      </c>
      <c r="F186" s="8">
        <v>45698</v>
      </c>
      <c r="G186" s="2" t="s">
        <v>31</v>
      </c>
      <c r="H186" s="2" t="s">
        <v>37</v>
      </c>
      <c r="I186" s="2" t="s">
        <v>12</v>
      </c>
      <c r="J186" s="2" t="s">
        <v>56</v>
      </c>
      <c r="K186" s="2">
        <v>6</v>
      </c>
      <c r="L186" s="2">
        <v>2944.03</v>
      </c>
      <c r="M186" s="2">
        <v>0</v>
      </c>
      <c r="N186" s="2" t="s">
        <v>14</v>
      </c>
      <c r="O186">
        <f t="shared" si="2"/>
        <v>17664.18</v>
      </c>
      <c r="P186">
        <f>O186-(O186*M186/100)</f>
        <v>17664.18</v>
      </c>
    </row>
    <row r="187" spans="5:16" x14ac:dyDescent="0.25">
      <c r="E187" s="2">
        <v>10185</v>
      </c>
      <c r="F187" s="8">
        <v>45831</v>
      </c>
      <c r="G187" s="2" t="s">
        <v>24</v>
      </c>
      <c r="H187" s="2" t="s">
        <v>16</v>
      </c>
      <c r="I187" s="2" t="s">
        <v>17</v>
      </c>
      <c r="J187" s="2" t="s">
        <v>55</v>
      </c>
      <c r="K187" s="2">
        <v>9</v>
      </c>
      <c r="L187" s="2">
        <v>4822.47</v>
      </c>
      <c r="M187" s="2">
        <v>20</v>
      </c>
      <c r="N187" s="2" t="s">
        <v>14</v>
      </c>
      <c r="O187">
        <f t="shared" si="2"/>
        <v>43402.23</v>
      </c>
      <c r="P187">
        <f>O187-(O187*M187/100)</f>
        <v>34721.784</v>
      </c>
    </row>
    <row r="188" spans="5:16" x14ac:dyDescent="0.25">
      <c r="E188" s="2">
        <v>10186</v>
      </c>
      <c r="F188" s="8">
        <v>45772</v>
      </c>
      <c r="G188" s="2" t="s">
        <v>43</v>
      </c>
      <c r="H188" s="2" t="s">
        <v>16</v>
      </c>
      <c r="I188" s="2" t="s">
        <v>34</v>
      </c>
      <c r="J188" s="2" t="s">
        <v>44</v>
      </c>
      <c r="K188" s="2">
        <v>6</v>
      </c>
      <c r="L188" s="2">
        <v>3038.31</v>
      </c>
      <c r="M188" s="2">
        <v>0</v>
      </c>
      <c r="N188" s="2" t="s">
        <v>23</v>
      </c>
      <c r="O188">
        <f t="shared" si="2"/>
        <v>18229.86</v>
      </c>
      <c r="P188">
        <f>O188-(O188*M188/100)</f>
        <v>18229.86</v>
      </c>
    </row>
    <row r="189" spans="5:16" x14ac:dyDescent="0.25">
      <c r="E189" s="2">
        <v>10187</v>
      </c>
      <c r="F189" s="8">
        <v>45741</v>
      </c>
      <c r="G189" s="2" t="s">
        <v>15</v>
      </c>
      <c r="H189" s="2" t="s">
        <v>29</v>
      </c>
      <c r="I189" s="2" t="s">
        <v>12</v>
      </c>
      <c r="J189" s="2" t="s">
        <v>22</v>
      </c>
      <c r="K189" s="2">
        <v>15</v>
      </c>
      <c r="L189" s="2">
        <v>3227.31</v>
      </c>
      <c r="M189" s="2">
        <v>20</v>
      </c>
      <c r="N189" s="2" t="s">
        <v>23</v>
      </c>
      <c r="O189">
        <f t="shared" si="2"/>
        <v>48409.65</v>
      </c>
      <c r="P189">
        <f>O189-(O189*M189/100)</f>
        <v>38727.72</v>
      </c>
    </row>
    <row r="190" spans="5:16" x14ac:dyDescent="0.25">
      <c r="E190" s="2">
        <v>10188</v>
      </c>
      <c r="F190" s="8">
        <v>45962</v>
      </c>
      <c r="G190" s="2" t="s">
        <v>15</v>
      </c>
      <c r="H190" s="2" t="s">
        <v>52</v>
      </c>
      <c r="I190" s="2" t="s">
        <v>12</v>
      </c>
      <c r="J190" s="2" t="s">
        <v>33</v>
      </c>
      <c r="K190" s="2">
        <v>20</v>
      </c>
      <c r="L190" s="2">
        <v>2721.54</v>
      </c>
      <c r="M190" s="2">
        <v>15</v>
      </c>
      <c r="N190" s="2" t="s">
        <v>19</v>
      </c>
      <c r="O190">
        <f t="shared" si="2"/>
        <v>54430.8</v>
      </c>
      <c r="P190">
        <f>O190-(O190*M190/100)</f>
        <v>46266.18</v>
      </c>
    </row>
    <row r="191" spans="5:16" x14ac:dyDescent="0.25">
      <c r="E191" s="2">
        <v>10189</v>
      </c>
      <c r="F191" s="8">
        <v>45885</v>
      </c>
      <c r="G191" s="2" t="s">
        <v>31</v>
      </c>
      <c r="H191" s="2" t="s">
        <v>51</v>
      </c>
      <c r="I191" s="2" t="s">
        <v>17</v>
      </c>
      <c r="J191" s="2" t="s">
        <v>55</v>
      </c>
      <c r="K191" s="2">
        <v>11</v>
      </c>
      <c r="L191" s="2">
        <v>4315.3</v>
      </c>
      <c r="M191" s="2">
        <v>20</v>
      </c>
      <c r="N191" s="2" t="s">
        <v>23</v>
      </c>
      <c r="O191">
        <f t="shared" si="2"/>
        <v>47468.3</v>
      </c>
      <c r="P191">
        <f>O191-(O191*M191/100)</f>
        <v>37974.639999999999</v>
      </c>
    </row>
    <row r="192" spans="5:16" x14ac:dyDescent="0.25">
      <c r="E192" s="2">
        <v>10190</v>
      </c>
      <c r="F192" s="8">
        <v>45820</v>
      </c>
      <c r="G192" s="2" t="s">
        <v>20</v>
      </c>
      <c r="H192" s="2" t="s">
        <v>52</v>
      </c>
      <c r="I192" s="2" t="s">
        <v>34</v>
      </c>
      <c r="J192" s="2" t="s">
        <v>38</v>
      </c>
      <c r="K192" s="2">
        <v>20</v>
      </c>
      <c r="L192" s="2">
        <v>4108.34</v>
      </c>
      <c r="M192" s="2">
        <v>15</v>
      </c>
      <c r="N192" s="2" t="s">
        <v>23</v>
      </c>
      <c r="O192">
        <f t="shared" si="2"/>
        <v>82166.8</v>
      </c>
      <c r="P192">
        <f>O192-(O192*M192/100)</f>
        <v>69841.78</v>
      </c>
    </row>
    <row r="193" spans="5:16" x14ac:dyDescent="0.25">
      <c r="E193" s="2">
        <v>10191</v>
      </c>
      <c r="F193" s="8">
        <v>46018</v>
      </c>
      <c r="G193" s="2" t="s">
        <v>20</v>
      </c>
      <c r="H193" s="2" t="s">
        <v>37</v>
      </c>
      <c r="I193" s="2" t="s">
        <v>17</v>
      </c>
      <c r="J193" s="2" t="s">
        <v>28</v>
      </c>
      <c r="K193" s="2">
        <v>19</v>
      </c>
      <c r="L193" s="2">
        <v>4020.63</v>
      </c>
      <c r="M193" s="2">
        <v>0</v>
      </c>
      <c r="N193" s="2" t="s">
        <v>30</v>
      </c>
      <c r="O193">
        <f t="shared" si="2"/>
        <v>76391.97</v>
      </c>
      <c r="P193">
        <f>O193-(O193*M193/100)</f>
        <v>76391.97</v>
      </c>
    </row>
    <row r="194" spans="5:16" x14ac:dyDescent="0.25">
      <c r="E194" s="2">
        <v>10192</v>
      </c>
      <c r="F194" s="8">
        <v>45759</v>
      </c>
      <c r="G194" s="2" t="s">
        <v>10</v>
      </c>
      <c r="H194" s="2" t="s">
        <v>29</v>
      </c>
      <c r="I194" s="2" t="s">
        <v>34</v>
      </c>
      <c r="J194" s="2" t="s">
        <v>38</v>
      </c>
      <c r="K194" s="2">
        <v>8</v>
      </c>
      <c r="L194" s="2">
        <v>1840.38</v>
      </c>
      <c r="M194" s="2">
        <v>20</v>
      </c>
      <c r="N194" s="2" t="s">
        <v>30</v>
      </c>
      <c r="O194">
        <f t="shared" si="2"/>
        <v>14723.04</v>
      </c>
      <c r="P194">
        <f>O194-(O194*M194/100)</f>
        <v>11778.432000000001</v>
      </c>
    </row>
    <row r="195" spans="5:16" x14ac:dyDescent="0.25">
      <c r="E195" s="2">
        <v>10193</v>
      </c>
      <c r="F195" s="8">
        <v>45852</v>
      </c>
      <c r="G195" s="2" t="s">
        <v>10</v>
      </c>
      <c r="H195" s="2" t="s">
        <v>29</v>
      </c>
      <c r="I195" s="2" t="s">
        <v>17</v>
      </c>
      <c r="J195" s="2" t="s">
        <v>55</v>
      </c>
      <c r="K195" s="2">
        <v>12</v>
      </c>
      <c r="L195" s="2">
        <v>3663.89</v>
      </c>
      <c r="M195" s="2">
        <v>10</v>
      </c>
      <c r="N195" s="2" t="s">
        <v>14</v>
      </c>
      <c r="O195">
        <f t="shared" si="2"/>
        <v>43966.68</v>
      </c>
      <c r="P195">
        <f>O195-(O195*M195/100)</f>
        <v>39570.012000000002</v>
      </c>
    </row>
    <row r="196" spans="5:16" x14ac:dyDescent="0.25">
      <c r="E196" s="2">
        <v>10194</v>
      </c>
      <c r="F196" s="8">
        <v>45799</v>
      </c>
      <c r="G196" s="2" t="s">
        <v>15</v>
      </c>
      <c r="H196" s="2" t="s">
        <v>37</v>
      </c>
      <c r="I196" s="2" t="s">
        <v>12</v>
      </c>
      <c r="J196" s="2" t="s">
        <v>13</v>
      </c>
      <c r="K196" s="2">
        <v>2</v>
      </c>
      <c r="L196" s="2">
        <v>1343.81</v>
      </c>
      <c r="M196" s="2">
        <v>5</v>
      </c>
      <c r="N196" s="2" t="s">
        <v>19</v>
      </c>
      <c r="O196">
        <f t="shared" ref="O196:O259" si="3">K196*L196</f>
        <v>2687.62</v>
      </c>
      <c r="P196">
        <f>O196-(O196*M196/100)</f>
        <v>2553.239</v>
      </c>
    </row>
    <row r="197" spans="5:16" x14ac:dyDescent="0.25">
      <c r="E197" s="2">
        <v>10195</v>
      </c>
      <c r="F197" s="8">
        <v>45659</v>
      </c>
      <c r="G197" s="2" t="s">
        <v>31</v>
      </c>
      <c r="H197" s="2" t="s">
        <v>11</v>
      </c>
      <c r="I197" s="2" t="s">
        <v>12</v>
      </c>
      <c r="J197" s="2" t="s">
        <v>13</v>
      </c>
      <c r="K197" s="2">
        <v>6</v>
      </c>
      <c r="L197" s="2">
        <v>2486.3000000000002</v>
      </c>
      <c r="M197" s="2">
        <v>0</v>
      </c>
      <c r="N197" s="2" t="s">
        <v>26</v>
      </c>
      <c r="O197">
        <f t="shared" si="3"/>
        <v>14917.800000000001</v>
      </c>
      <c r="P197">
        <f>O197-(O197*M197/100)</f>
        <v>14917.800000000001</v>
      </c>
    </row>
    <row r="198" spans="5:16" x14ac:dyDescent="0.25">
      <c r="E198" s="2">
        <v>10196</v>
      </c>
      <c r="F198" s="8">
        <v>45696</v>
      </c>
      <c r="G198" s="2" t="s">
        <v>39</v>
      </c>
      <c r="H198" s="2" t="s">
        <v>47</v>
      </c>
      <c r="I198" s="2" t="s">
        <v>40</v>
      </c>
      <c r="J198" s="2" t="s">
        <v>41</v>
      </c>
      <c r="K198" s="2">
        <v>4</v>
      </c>
      <c r="L198" s="2">
        <v>1574.59</v>
      </c>
      <c r="M198" s="2">
        <v>20</v>
      </c>
      <c r="N198" s="2" t="s">
        <v>14</v>
      </c>
      <c r="O198">
        <f t="shared" si="3"/>
        <v>6298.36</v>
      </c>
      <c r="P198">
        <f>O198-(O198*M198/100)</f>
        <v>5038.6880000000001</v>
      </c>
    </row>
    <row r="199" spans="5:16" x14ac:dyDescent="0.25">
      <c r="E199" s="2">
        <v>10197</v>
      </c>
      <c r="F199" s="8">
        <v>45940</v>
      </c>
      <c r="G199" s="2" t="s">
        <v>24</v>
      </c>
      <c r="H199" s="2" t="s">
        <v>29</v>
      </c>
      <c r="I199" s="2" t="s">
        <v>12</v>
      </c>
      <c r="J199" s="2" t="s">
        <v>56</v>
      </c>
      <c r="K199" s="2">
        <v>18</v>
      </c>
      <c r="L199" s="2">
        <v>1603.43</v>
      </c>
      <c r="M199" s="2">
        <v>10</v>
      </c>
      <c r="N199" s="2" t="s">
        <v>26</v>
      </c>
      <c r="O199">
        <f t="shared" si="3"/>
        <v>28861.74</v>
      </c>
      <c r="P199">
        <f>O199-(O199*M199/100)</f>
        <v>25975.566000000003</v>
      </c>
    </row>
    <row r="200" spans="5:16" x14ac:dyDescent="0.25">
      <c r="E200" s="2">
        <v>10198</v>
      </c>
      <c r="F200" s="8">
        <v>45911</v>
      </c>
      <c r="G200" s="2" t="s">
        <v>15</v>
      </c>
      <c r="H200" s="2" t="s">
        <v>51</v>
      </c>
      <c r="I200" s="2" t="s">
        <v>12</v>
      </c>
      <c r="J200" s="2" t="s">
        <v>22</v>
      </c>
      <c r="K200" s="2">
        <v>3</v>
      </c>
      <c r="L200" s="2">
        <v>3423.97</v>
      </c>
      <c r="M200" s="2">
        <v>10</v>
      </c>
      <c r="N200" s="2" t="s">
        <v>26</v>
      </c>
      <c r="O200">
        <f t="shared" si="3"/>
        <v>10271.91</v>
      </c>
      <c r="P200">
        <f>O200-(O200*M200/100)</f>
        <v>9244.7189999999991</v>
      </c>
    </row>
    <row r="201" spans="5:16" x14ac:dyDescent="0.25">
      <c r="E201" s="2">
        <v>10199</v>
      </c>
      <c r="F201" s="8">
        <v>45685</v>
      </c>
      <c r="G201" s="2" t="s">
        <v>27</v>
      </c>
      <c r="H201" s="2" t="s">
        <v>25</v>
      </c>
      <c r="I201" s="2" t="s">
        <v>34</v>
      </c>
      <c r="J201" s="2" t="s">
        <v>44</v>
      </c>
      <c r="K201" s="2">
        <v>9</v>
      </c>
      <c r="L201" s="2">
        <v>3661.16</v>
      </c>
      <c r="M201" s="2">
        <v>10</v>
      </c>
      <c r="N201" s="2" t="s">
        <v>19</v>
      </c>
      <c r="O201">
        <f t="shared" si="3"/>
        <v>32950.44</v>
      </c>
      <c r="P201">
        <f>O201-(O201*M201/100)</f>
        <v>29655.396000000001</v>
      </c>
    </row>
    <row r="202" spans="5:16" x14ac:dyDescent="0.25">
      <c r="E202" s="2">
        <v>10200</v>
      </c>
      <c r="F202" s="8">
        <v>45952</v>
      </c>
      <c r="G202" s="2" t="s">
        <v>54</v>
      </c>
      <c r="H202" s="2" t="s">
        <v>11</v>
      </c>
      <c r="I202" s="2" t="s">
        <v>17</v>
      </c>
      <c r="J202" s="2" t="s">
        <v>55</v>
      </c>
      <c r="K202" s="2">
        <v>7</v>
      </c>
      <c r="L202" s="2">
        <v>1644.08</v>
      </c>
      <c r="M202" s="2">
        <v>20</v>
      </c>
      <c r="N202" s="2" t="s">
        <v>26</v>
      </c>
      <c r="O202">
        <f t="shared" si="3"/>
        <v>11508.56</v>
      </c>
      <c r="P202">
        <f>O202-(O202*M202/100)</f>
        <v>9206.848</v>
      </c>
    </row>
    <row r="203" spans="5:16" x14ac:dyDescent="0.25">
      <c r="E203" s="2">
        <v>10201</v>
      </c>
      <c r="F203" s="8">
        <v>45987</v>
      </c>
      <c r="G203" s="2" t="s">
        <v>15</v>
      </c>
      <c r="H203" s="2" t="s">
        <v>25</v>
      </c>
      <c r="I203" s="2" t="s">
        <v>17</v>
      </c>
      <c r="J203" s="2" t="s">
        <v>18</v>
      </c>
      <c r="K203" s="2">
        <v>7</v>
      </c>
      <c r="L203" s="2">
        <v>3464.14</v>
      </c>
      <c r="M203" s="2">
        <v>0</v>
      </c>
      <c r="N203" s="2" t="s">
        <v>23</v>
      </c>
      <c r="O203">
        <f t="shared" si="3"/>
        <v>24248.98</v>
      </c>
      <c r="P203">
        <f>O203-(O203*M203/100)</f>
        <v>24248.98</v>
      </c>
    </row>
    <row r="204" spans="5:16" x14ac:dyDescent="0.25">
      <c r="E204" s="2">
        <v>10202</v>
      </c>
      <c r="F204" s="8">
        <v>46022</v>
      </c>
      <c r="G204" s="2" t="s">
        <v>54</v>
      </c>
      <c r="H204" s="2" t="s">
        <v>25</v>
      </c>
      <c r="I204" s="2" t="s">
        <v>12</v>
      </c>
      <c r="J204" s="2" t="s">
        <v>13</v>
      </c>
      <c r="K204" s="2">
        <v>7</v>
      </c>
      <c r="L204" s="2">
        <v>4267.29</v>
      </c>
      <c r="M204" s="2">
        <v>5</v>
      </c>
      <c r="N204" s="2" t="s">
        <v>30</v>
      </c>
      <c r="O204">
        <f t="shared" si="3"/>
        <v>29871.03</v>
      </c>
      <c r="P204">
        <f>O204-(O204*M204/100)</f>
        <v>28377.478499999997</v>
      </c>
    </row>
    <row r="205" spans="5:16" x14ac:dyDescent="0.25">
      <c r="E205" s="2">
        <v>10203</v>
      </c>
      <c r="F205" s="8">
        <v>45925</v>
      </c>
      <c r="G205" s="2" t="s">
        <v>24</v>
      </c>
      <c r="H205" s="2" t="s">
        <v>37</v>
      </c>
      <c r="I205" s="2" t="s">
        <v>34</v>
      </c>
      <c r="J205" s="2" t="s">
        <v>44</v>
      </c>
      <c r="K205" s="2">
        <v>11</v>
      </c>
      <c r="L205" s="2">
        <v>1997.3</v>
      </c>
      <c r="M205" s="2">
        <v>5</v>
      </c>
      <c r="N205" s="2" t="s">
        <v>30</v>
      </c>
      <c r="O205">
        <f t="shared" si="3"/>
        <v>21970.3</v>
      </c>
      <c r="P205">
        <f>O205-(O205*M205/100)</f>
        <v>20871.785</v>
      </c>
    </row>
    <row r="206" spans="5:16" x14ac:dyDescent="0.25">
      <c r="E206" s="2">
        <v>10204</v>
      </c>
      <c r="F206" s="8">
        <v>45938</v>
      </c>
      <c r="G206" s="2" t="s">
        <v>54</v>
      </c>
      <c r="H206" s="2" t="s">
        <v>16</v>
      </c>
      <c r="I206" s="2" t="s">
        <v>12</v>
      </c>
      <c r="J206" s="2" t="s">
        <v>22</v>
      </c>
      <c r="K206" s="2">
        <v>9</v>
      </c>
      <c r="L206" s="2">
        <v>4890</v>
      </c>
      <c r="M206" s="2">
        <v>15</v>
      </c>
      <c r="N206" s="2" t="s">
        <v>23</v>
      </c>
      <c r="O206">
        <f t="shared" si="3"/>
        <v>44010</v>
      </c>
      <c r="P206">
        <f>O206-(O206*M206/100)</f>
        <v>37408.5</v>
      </c>
    </row>
    <row r="207" spans="5:16" x14ac:dyDescent="0.25">
      <c r="E207" s="2">
        <v>10205</v>
      </c>
      <c r="F207" s="8">
        <v>45722</v>
      </c>
      <c r="G207" s="2" t="s">
        <v>54</v>
      </c>
      <c r="H207" s="2" t="s">
        <v>45</v>
      </c>
      <c r="I207" s="2" t="s">
        <v>12</v>
      </c>
      <c r="J207" s="2" t="s">
        <v>33</v>
      </c>
      <c r="K207" s="2">
        <v>9</v>
      </c>
      <c r="L207" s="2">
        <v>1768.29</v>
      </c>
      <c r="M207" s="2">
        <v>0</v>
      </c>
      <c r="N207" s="2" t="s">
        <v>23</v>
      </c>
      <c r="O207">
        <f t="shared" si="3"/>
        <v>15914.61</v>
      </c>
      <c r="P207">
        <f>O207-(O207*M207/100)</f>
        <v>15914.61</v>
      </c>
    </row>
    <row r="208" spans="5:16" x14ac:dyDescent="0.25">
      <c r="E208" s="2">
        <v>10206</v>
      </c>
      <c r="F208" s="8">
        <v>45729</v>
      </c>
      <c r="G208" s="2" t="s">
        <v>10</v>
      </c>
      <c r="H208" s="2" t="s">
        <v>16</v>
      </c>
      <c r="I208" s="2" t="s">
        <v>12</v>
      </c>
      <c r="J208" s="2" t="s">
        <v>56</v>
      </c>
      <c r="K208" s="2">
        <v>1</v>
      </c>
      <c r="L208" s="2">
        <v>1446.8</v>
      </c>
      <c r="M208" s="2">
        <v>5</v>
      </c>
      <c r="N208" s="2" t="s">
        <v>14</v>
      </c>
      <c r="O208">
        <f t="shared" si="3"/>
        <v>1446.8</v>
      </c>
      <c r="P208">
        <f>O208-(O208*M208/100)</f>
        <v>1374.46</v>
      </c>
    </row>
    <row r="209" spans="5:16" x14ac:dyDescent="0.25">
      <c r="E209" s="2">
        <v>10207</v>
      </c>
      <c r="F209" s="8">
        <v>45771</v>
      </c>
      <c r="G209" s="2" t="s">
        <v>32</v>
      </c>
      <c r="H209" s="2" t="s">
        <v>25</v>
      </c>
      <c r="I209" s="2" t="s">
        <v>34</v>
      </c>
      <c r="J209" s="2" t="s">
        <v>38</v>
      </c>
      <c r="K209" s="2">
        <v>18</v>
      </c>
      <c r="L209" s="2">
        <v>4843.68</v>
      </c>
      <c r="M209" s="2">
        <v>10</v>
      </c>
      <c r="N209" s="2" t="s">
        <v>14</v>
      </c>
      <c r="O209">
        <f t="shared" si="3"/>
        <v>87186.240000000005</v>
      </c>
      <c r="P209">
        <f>O209-(O209*M209/100)</f>
        <v>78467.616000000009</v>
      </c>
    </row>
    <row r="210" spans="5:16" x14ac:dyDescent="0.25">
      <c r="E210" s="2">
        <v>10208</v>
      </c>
      <c r="F210" s="8">
        <v>45885</v>
      </c>
      <c r="G210" s="2" t="s">
        <v>24</v>
      </c>
      <c r="H210" s="2" t="s">
        <v>11</v>
      </c>
      <c r="I210" s="2" t="s">
        <v>34</v>
      </c>
      <c r="J210" s="2" t="s">
        <v>50</v>
      </c>
      <c r="K210" s="2">
        <v>9</v>
      </c>
      <c r="L210" s="2">
        <v>473.78</v>
      </c>
      <c r="M210" s="2">
        <v>5</v>
      </c>
      <c r="N210" s="2" t="s">
        <v>23</v>
      </c>
      <c r="O210">
        <f t="shared" si="3"/>
        <v>4264.0199999999995</v>
      </c>
      <c r="P210">
        <f>O210-(O210*M210/100)</f>
        <v>4050.8189999999995</v>
      </c>
    </row>
    <row r="211" spans="5:16" x14ac:dyDescent="0.25">
      <c r="E211" s="2">
        <v>10209</v>
      </c>
      <c r="F211" s="8">
        <v>45719</v>
      </c>
      <c r="G211" s="2" t="s">
        <v>15</v>
      </c>
      <c r="H211" s="2" t="s">
        <v>25</v>
      </c>
      <c r="I211" s="2" t="s">
        <v>12</v>
      </c>
      <c r="J211" s="2" t="s">
        <v>33</v>
      </c>
      <c r="K211" s="2">
        <v>3</v>
      </c>
      <c r="L211" s="2">
        <v>3149.38</v>
      </c>
      <c r="M211" s="2">
        <v>5</v>
      </c>
      <c r="N211" s="2" t="s">
        <v>30</v>
      </c>
      <c r="O211">
        <f t="shared" si="3"/>
        <v>9448.14</v>
      </c>
      <c r="P211">
        <f>O211-(O211*M211/100)</f>
        <v>8975.7330000000002</v>
      </c>
    </row>
    <row r="212" spans="5:16" x14ac:dyDescent="0.25">
      <c r="E212" s="2">
        <v>10210</v>
      </c>
      <c r="F212" s="8">
        <v>45667</v>
      </c>
      <c r="G212" s="2" t="s">
        <v>20</v>
      </c>
      <c r="H212" s="2" t="s">
        <v>51</v>
      </c>
      <c r="I212" s="2" t="s">
        <v>34</v>
      </c>
      <c r="J212" s="2" t="s">
        <v>38</v>
      </c>
      <c r="K212" s="2">
        <v>9</v>
      </c>
      <c r="L212" s="2">
        <v>4172.09</v>
      </c>
      <c r="M212" s="2">
        <v>15</v>
      </c>
      <c r="N212" s="2" t="s">
        <v>30</v>
      </c>
      <c r="O212">
        <f t="shared" si="3"/>
        <v>37548.81</v>
      </c>
      <c r="P212">
        <f>O212-(O212*M212/100)</f>
        <v>31916.488499999999</v>
      </c>
    </row>
    <row r="213" spans="5:16" x14ac:dyDescent="0.25">
      <c r="E213" s="2">
        <v>10211</v>
      </c>
      <c r="F213" s="8">
        <v>45662</v>
      </c>
      <c r="G213" s="2" t="s">
        <v>10</v>
      </c>
      <c r="H213" s="2" t="s">
        <v>25</v>
      </c>
      <c r="I213" s="2" t="s">
        <v>40</v>
      </c>
      <c r="J213" s="2" t="s">
        <v>41</v>
      </c>
      <c r="K213" s="2">
        <v>4</v>
      </c>
      <c r="L213" s="2">
        <v>2057.34</v>
      </c>
      <c r="M213" s="2">
        <v>0</v>
      </c>
      <c r="N213" s="2" t="s">
        <v>30</v>
      </c>
      <c r="O213">
        <f t="shared" si="3"/>
        <v>8229.36</v>
      </c>
      <c r="P213">
        <f>O213-(O213*M213/100)</f>
        <v>8229.36</v>
      </c>
    </row>
    <row r="214" spans="5:16" x14ac:dyDescent="0.25">
      <c r="E214" s="2">
        <v>10212</v>
      </c>
      <c r="F214" s="8">
        <v>45913</v>
      </c>
      <c r="G214" s="2" t="s">
        <v>24</v>
      </c>
      <c r="H214" s="2" t="s">
        <v>52</v>
      </c>
      <c r="I214" s="2" t="s">
        <v>12</v>
      </c>
      <c r="J214" s="2" t="s">
        <v>13</v>
      </c>
      <c r="K214" s="2">
        <v>14</v>
      </c>
      <c r="L214" s="2">
        <v>1413.47</v>
      </c>
      <c r="M214" s="2">
        <v>15</v>
      </c>
      <c r="N214" s="2" t="s">
        <v>30</v>
      </c>
      <c r="O214">
        <f t="shared" si="3"/>
        <v>19788.580000000002</v>
      </c>
      <c r="P214">
        <f>O214-(O214*M214/100)</f>
        <v>16820.293000000001</v>
      </c>
    </row>
    <row r="215" spans="5:16" x14ac:dyDescent="0.25">
      <c r="E215" s="2">
        <v>10213</v>
      </c>
      <c r="F215" s="8">
        <v>45759</v>
      </c>
      <c r="G215" s="2" t="s">
        <v>42</v>
      </c>
      <c r="H215" s="2" t="s">
        <v>16</v>
      </c>
      <c r="I215" s="2" t="s">
        <v>40</v>
      </c>
      <c r="J215" s="2" t="s">
        <v>53</v>
      </c>
      <c r="K215" s="2">
        <v>8</v>
      </c>
      <c r="L215" s="2">
        <v>4898.42</v>
      </c>
      <c r="M215" s="2">
        <v>5</v>
      </c>
      <c r="N215" s="2" t="s">
        <v>30</v>
      </c>
      <c r="O215">
        <f t="shared" si="3"/>
        <v>39187.360000000001</v>
      </c>
      <c r="P215">
        <f>O215-(O215*M215/100)</f>
        <v>37227.991999999998</v>
      </c>
    </row>
    <row r="216" spans="5:16" x14ac:dyDescent="0.25">
      <c r="E216" s="2">
        <v>10214</v>
      </c>
      <c r="F216" s="8">
        <v>45906</v>
      </c>
      <c r="G216" s="2" t="s">
        <v>32</v>
      </c>
      <c r="H216" s="2" t="s">
        <v>25</v>
      </c>
      <c r="I216" s="2" t="s">
        <v>17</v>
      </c>
      <c r="J216" s="2" t="s">
        <v>55</v>
      </c>
      <c r="K216" s="2">
        <v>9</v>
      </c>
      <c r="L216" s="2">
        <v>2913.68</v>
      </c>
      <c r="M216" s="2">
        <v>15</v>
      </c>
      <c r="N216" s="2" t="s">
        <v>23</v>
      </c>
      <c r="O216">
        <f t="shared" si="3"/>
        <v>26223.119999999999</v>
      </c>
      <c r="P216">
        <f>O216-(O216*M216/100)</f>
        <v>22289.651999999998</v>
      </c>
    </row>
    <row r="217" spans="5:16" x14ac:dyDescent="0.25">
      <c r="E217" s="2">
        <v>10215</v>
      </c>
      <c r="F217" s="8">
        <v>45912</v>
      </c>
      <c r="G217" s="2" t="s">
        <v>20</v>
      </c>
      <c r="H217" s="2" t="s">
        <v>16</v>
      </c>
      <c r="I217" s="2" t="s">
        <v>12</v>
      </c>
      <c r="J217" s="2" t="s">
        <v>22</v>
      </c>
      <c r="K217" s="2">
        <v>19</v>
      </c>
      <c r="L217" s="2">
        <v>1572.25</v>
      </c>
      <c r="M217" s="2">
        <v>20</v>
      </c>
      <c r="N217" s="2" t="s">
        <v>26</v>
      </c>
      <c r="O217">
        <f t="shared" si="3"/>
        <v>29872.75</v>
      </c>
      <c r="P217">
        <f>O217-(O217*M217/100)</f>
        <v>23898.2</v>
      </c>
    </row>
    <row r="218" spans="5:16" x14ac:dyDescent="0.25">
      <c r="E218" s="2">
        <v>10216</v>
      </c>
      <c r="F218" s="8">
        <v>45723</v>
      </c>
      <c r="G218" s="2" t="s">
        <v>48</v>
      </c>
      <c r="H218" s="2" t="s">
        <v>29</v>
      </c>
      <c r="I218" s="2" t="s">
        <v>17</v>
      </c>
      <c r="J218" s="2" t="s">
        <v>36</v>
      </c>
      <c r="K218" s="2">
        <v>4</v>
      </c>
      <c r="L218" s="2">
        <v>2518.33</v>
      </c>
      <c r="M218" s="2">
        <v>0</v>
      </c>
      <c r="N218" s="2" t="s">
        <v>26</v>
      </c>
      <c r="O218">
        <f t="shared" si="3"/>
        <v>10073.32</v>
      </c>
      <c r="P218">
        <f>O218-(O218*M218/100)</f>
        <v>10073.32</v>
      </c>
    </row>
    <row r="219" spans="5:16" x14ac:dyDescent="0.25">
      <c r="E219" s="2">
        <v>10217</v>
      </c>
      <c r="F219" s="8">
        <v>45752</v>
      </c>
      <c r="G219" s="2" t="s">
        <v>32</v>
      </c>
      <c r="H219" s="2" t="s">
        <v>51</v>
      </c>
      <c r="I219" s="2" t="s">
        <v>12</v>
      </c>
      <c r="J219" s="2" t="s">
        <v>22</v>
      </c>
      <c r="K219" s="2">
        <v>1</v>
      </c>
      <c r="L219" s="2">
        <v>2864.78</v>
      </c>
      <c r="M219" s="2">
        <v>5</v>
      </c>
      <c r="N219" s="2" t="s">
        <v>23</v>
      </c>
      <c r="O219">
        <f t="shared" si="3"/>
        <v>2864.78</v>
      </c>
      <c r="P219">
        <f>O219-(O219*M219/100)</f>
        <v>2721.5410000000002</v>
      </c>
    </row>
    <row r="220" spans="5:16" x14ac:dyDescent="0.25">
      <c r="E220" s="2">
        <v>10218</v>
      </c>
      <c r="F220" s="8">
        <v>45680</v>
      </c>
      <c r="G220" s="2" t="s">
        <v>48</v>
      </c>
      <c r="H220" s="2" t="s">
        <v>37</v>
      </c>
      <c r="I220" s="2" t="s">
        <v>40</v>
      </c>
      <c r="J220" s="2" t="s">
        <v>49</v>
      </c>
      <c r="K220" s="2">
        <v>6</v>
      </c>
      <c r="L220" s="2">
        <v>940.44</v>
      </c>
      <c r="M220" s="2">
        <v>10</v>
      </c>
      <c r="N220" s="2" t="s">
        <v>19</v>
      </c>
      <c r="O220">
        <f t="shared" si="3"/>
        <v>5642.64</v>
      </c>
      <c r="P220">
        <f>O220-(O220*M220/100)</f>
        <v>5078.3760000000002</v>
      </c>
    </row>
    <row r="221" spans="5:16" x14ac:dyDescent="0.25">
      <c r="E221" s="2">
        <v>10219</v>
      </c>
      <c r="F221" s="8">
        <v>45945</v>
      </c>
      <c r="G221" s="2" t="s">
        <v>15</v>
      </c>
      <c r="H221" s="2" t="s">
        <v>47</v>
      </c>
      <c r="I221" s="2" t="s">
        <v>12</v>
      </c>
      <c r="J221" s="2" t="s">
        <v>33</v>
      </c>
      <c r="K221" s="2">
        <v>8</v>
      </c>
      <c r="L221" s="2">
        <v>4740.3999999999996</v>
      </c>
      <c r="M221" s="2">
        <v>0</v>
      </c>
      <c r="N221" s="2" t="s">
        <v>14</v>
      </c>
      <c r="O221">
        <f t="shared" si="3"/>
        <v>37923.199999999997</v>
      </c>
      <c r="P221">
        <f>O221-(O221*M221/100)</f>
        <v>37923.199999999997</v>
      </c>
    </row>
    <row r="222" spans="5:16" x14ac:dyDescent="0.25">
      <c r="E222" s="2">
        <v>10220</v>
      </c>
      <c r="F222" s="8">
        <v>45969</v>
      </c>
      <c r="G222" s="2" t="s">
        <v>31</v>
      </c>
      <c r="H222" s="2" t="s">
        <v>29</v>
      </c>
      <c r="I222" s="2" t="s">
        <v>12</v>
      </c>
      <c r="J222" s="2" t="s">
        <v>13</v>
      </c>
      <c r="K222" s="2">
        <v>13</v>
      </c>
      <c r="L222" s="2">
        <v>2817.78</v>
      </c>
      <c r="M222" s="2">
        <v>0</v>
      </c>
      <c r="N222" s="2" t="s">
        <v>14</v>
      </c>
      <c r="O222">
        <f t="shared" si="3"/>
        <v>36631.14</v>
      </c>
      <c r="P222">
        <f>O222-(O222*M222/100)</f>
        <v>36631.14</v>
      </c>
    </row>
    <row r="223" spans="5:16" x14ac:dyDescent="0.25">
      <c r="E223" s="2">
        <v>10221</v>
      </c>
      <c r="F223" s="8">
        <v>45667</v>
      </c>
      <c r="G223" s="2" t="s">
        <v>24</v>
      </c>
      <c r="H223" s="2" t="s">
        <v>47</v>
      </c>
      <c r="I223" s="2" t="s">
        <v>34</v>
      </c>
      <c r="J223" s="2" t="s">
        <v>44</v>
      </c>
      <c r="K223" s="2">
        <v>9</v>
      </c>
      <c r="L223" s="2">
        <v>2504.62</v>
      </c>
      <c r="M223" s="2">
        <v>0</v>
      </c>
      <c r="N223" s="2" t="s">
        <v>19</v>
      </c>
      <c r="O223">
        <f t="shared" si="3"/>
        <v>22541.579999999998</v>
      </c>
      <c r="P223">
        <f>O223-(O223*M223/100)</f>
        <v>22541.579999999998</v>
      </c>
    </row>
    <row r="224" spans="5:16" x14ac:dyDescent="0.25">
      <c r="E224" s="2">
        <v>10222</v>
      </c>
      <c r="F224" s="8">
        <v>45985</v>
      </c>
      <c r="G224" s="2" t="s">
        <v>20</v>
      </c>
      <c r="H224" s="2" t="s">
        <v>25</v>
      </c>
      <c r="I224" s="2" t="s">
        <v>12</v>
      </c>
      <c r="J224" s="2" t="s">
        <v>22</v>
      </c>
      <c r="K224" s="2">
        <v>11</v>
      </c>
      <c r="L224" s="2">
        <v>2952.83</v>
      </c>
      <c r="M224" s="2">
        <v>10</v>
      </c>
      <c r="N224" s="2" t="s">
        <v>14</v>
      </c>
      <c r="O224">
        <f t="shared" si="3"/>
        <v>32481.129999999997</v>
      </c>
      <c r="P224">
        <f>O224-(O224*M224/100)</f>
        <v>29233.016999999996</v>
      </c>
    </row>
    <row r="225" spans="5:16" x14ac:dyDescent="0.25">
      <c r="E225" s="2">
        <v>10223</v>
      </c>
      <c r="F225" s="8">
        <v>45805</v>
      </c>
      <c r="G225" s="2" t="s">
        <v>32</v>
      </c>
      <c r="H225" s="2" t="s">
        <v>51</v>
      </c>
      <c r="I225" s="2" t="s">
        <v>17</v>
      </c>
      <c r="J225" s="2" t="s">
        <v>18</v>
      </c>
      <c r="K225" s="2">
        <v>1</v>
      </c>
      <c r="L225" s="2">
        <v>169.6</v>
      </c>
      <c r="M225" s="2">
        <v>20</v>
      </c>
      <c r="N225" s="2" t="s">
        <v>14</v>
      </c>
      <c r="O225">
        <f t="shared" si="3"/>
        <v>169.6</v>
      </c>
      <c r="P225">
        <f>O225-(O225*M225/100)</f>
        <v>135.68</v>
      </c>
    </row>
    <row r="226" spans="5:16" x14ac:dyDescent="0.25">
      <c r="E226" s="2">
        <v>10224</v>
      </c>
      <c r="F226" s="8">
        <v>45856</v>
      </c>
      <c r="G226" s="2" t="s">
        <v>43</v>
      </c>
      <c r="H226" s="2" t="s">
        <v>47</v>
      </c>
      <c r="I226" s="2" t="s">
        <v>12</v>
      </c>
      <c r="J226" s="2" t="s">
        <v>56</v>
      </c>
      <c r="K226" s="2">
        <v>6</v>
      </c>
      <c r="L226" s="2">
        <v>2241.7399999999998</v>
      </c>
      <c r="M226" s="2">
        <v>5</v>
      </c>
      <c r="N226" s="2" t="s">
        <v>19</v>
      </c>
      <c r="O226">
        <f t="shared" si="3"/>
        <v>13450.439999999999</v>
      </c>
      <c r="P226">
        <f>O226-(O226*M226/100)</f>
        <v>12777.917999999998</v>
      </c>
    </row>
    <row r="227" spans="5:16" x14ac:dyDescent="0.25">
      <c r="E227" s="2">
        <v>10225</v>
      </c>
      <c r="F227" s="8">
        <v>45792</v>
      </c>
      <c r="G227" s="2" t="s">
        <v>10</v>
      </c>
      <c r="H227" s="2" t="s">
        <v>51</v>
      </c>
      <c r="I227" s="2" t="s">
        <v>12</v>
      </c>
      <c r="J227" s="2" t="s">
        <v>33</v>
      </c>
      <c r="K227" s="2">
        <v>19</v>
      </c>
      <c r="L227" s="2">
        <v>463.23</v>
      </c>
      <c r="M227" s="2">
        <v>10</v>
      </c>
      <c r="N227" s="2" t="s">
        <v>19</v>
      </c>
      <c r="O227">
        <f t="shared" si="3"/>
        <v>8801.3700000000008</v>
      </c>
      <c r="P227">
        <f>O227-(O227*M227/100)</f>
        <v>7921.2330000000002</v>
      </c>
    </row>
    <row r="228" spans="5:16" x14ac:dyDescent="0.25">
      <c r="E228" s="2">
        <v>10226</v>
      </c>
      <c r="F228" s="8">
        <v>45711</v>
      </c>
      <c r="G228" s="2" t="s">
        <v>48</v>
      </c>
      <c r="H228" s="2" t="s">
        <v>21</v>
      </c>
      <c r="I228" s="2" t="s">
        <v>40</v>
      </c>
      <c r="J228" s="2" t="s">
        <v>53</v>
      </c>
      <c r="K228" s="2">
        <v>15</v>
      </c>
      <c r="L228" s="2">
        <v>2949.75</v>
      </c>
      <c r="M228" s="2">
        <v>0</v>
      </c>
      <c r="N228" s="2" t="s">
        <v>30</v>
      </c>
      <c r="O228">
        <f t="shared" si="3"/>
        <v>44246.25</v>
      </c>
      <c r="P228">
        <f>O228-(O228*M228/100)</f>
        <v>44246.25</v>
      </c>
    </row>
    <row r="229" spans="5:16" x14ac:dyDescent="0.25">
      <c r="E229" s="2">
        <v>10227</v>
      </c>
      <c r="F229" s="8">
        <v>45991</v>
      </c>
      <c r="G229" s="2" t="s">
        <v>24</v>
      </c>
      <c r="H229" s="2" t="s">
        <v>11</v>
      </c>
      <c r="I229" s="2" t="s">
        <v>12</v>
      </c>
      <c r="J229" s="2" t="s">
        <v>22</v>
      </c>
      <c r="K229" s="2">
        <v>16</v>
      </c>
      <c r="L229" s="2">
        <v>3143.66</v>
      </c>
      <c r="M229" s="2">
        <v>10</v>
      </c>
      <c r="N229" s="2" t="s">
        <v>30</v>
      </c>
      <c r="O229">
        <f t="shared" si="3"/>
        <v>50298.559999999998</v>
      </c>
      <c r="P229">
        <f>O229-(O229*M229/100)</f>
        <v>45268.703999999998</v>
      </c>
    </row>
    <row r="230" spans="5:16" x14ac:dyDescent="0.25">
      <c r="E230" s="2">
        <v>10228</v>
      </c>
      <c r="F230" s="8">
        <v>45851</v>
      </c>
      <c r="G230" s="2" t="s">
        <v>48</v>
      </c>
      <c r="H230" s="2" t="s">
        <v>21</v>
      </c>
      <c r="I230" s="2" t="s">
        <v>12</v>
      </c>
      <c r="J230" s="2" t="s">
        <v>33</v>
      </c>
      <c r="K230" s="2">
        <v>14</v>
      </c>
      <c r="L230" s="2">
        <v>442.31</v>
      </c>
      <c r="M230" s="2">
        <v>0</v>
      </c>
      <c r="N230" s="2" t="s">
        <v>19</v>
      </c>
      <c r="O230">
        <f t="shared" si="3"/>
        <v>6192.34</v>
      </c>
      <c r="P230">
        <f>O230-(O230*M230/100)</f>
        <v>6192.34</v>
      </c>
    </row>
    <row r="231" spans="5:16" x14ac:dyDescent="0.25">
      <c r="E231" s="2">
        <v>10229</v>
      </c>
      <c r="F231" s="8">
        <v>45944</v>
      </c>
      <c r="G231" s="2" t="s">
        <v>31</v>
      </c>
      <c r="H231" s="2" t="s">
        <v>51</v>
      </c>
      <c r="I231" s="2" t="s">
        <v>17</v>
      </c>
      <c r="J231" s="2" t="s">
        <v>55</v>
      </c>
      <c r="K231" s="2">
        <v>19</v>
      </c>
      <c r="L231" s="2">
        <v>717.53</v>
      </c>
      <c r="M231" s="2">
        <v>5</v>
      </c>
      <c r="N231" s="2" t="s">
        <v>30</v>
      </c>
      <c r="O231">
        <f t="shared" si="3"/>
        <v>13633.07</v>
      </c>
      <c r="P231">
        <f>O231-(O231*M231/100)</f>
        <v>12951.416499999999</v>
      </c>
    </row>
    <row r="232" spans="5:16" x14ac:dyDescent="0.25">
      <c r="E232" s="2">
        <v>10230</v>
      </c>
      <c r="F232" s="8">
        <v>45707</v>
      </c>
      <c r="G232" s="2" t="s">
        <v>20</v>
      </c>
      <c r="H232" s="2" t="s">
        <v>47</v>
      </c>
      <c r="I232" s="2" t="s">
        <v>40</v>
      </c>
      <c r="J232" s="2" t="s">
        <v>53</v>
      </c>
      <c r="K232" s="2">
        <v>7</v>
      </c>
      <c r="L232" s="2">
        <v>4909.1099999999997</v>
      </c>
      <c r="M232" s="2">
        <v>5</v>
      </c>
      <c r="N232" s="2" t="s">
        <v>26</v>
      </c>
      <c r="O232">
        <f t="shared" si="3"/>
        <v>34363.769999999997</v>
      </c>
      <c r="P232">
        <f>O232-(O232*M232/100)</f>
        <v>32645.581499999997</v>
      </c>
    </row>
    <row r="233" spans="5:16" x14ac:dyDescent="0.25">
      <c r="E233" s="2">
        <v>10231</v>
      </c>
      <c r="F233" s="8">
        <v>45678</v>
      </c>
      <c r="G233" s="2" t="s">
        <v>42</v>
      </c>
      <c r="H233" s="2" t="s">
        <v>37</v>
      </c>
      <c r="I233" s="2" t="s">
        <v>17</v>
      </c>
      <c r="J233" s="2" t="s">
        <v>18</v>
      </c>
      <c r="K233" s="2">
        <v>5</v>
      </c>
      <c r="L233" s="2">
        <v>4428.71</v>
      </c>
      <c r="M233" s="2">
        <v>5</v>
      </c>
      <c r="N233" s="2" t="s">
        <v>23</v>
      </c>
      <c r="O233">
        <f t="shared" si="3"/>
        <v>22143.55</v>
      </c>
      <c r="P233">
        <f>O233-(O233*M233/100)</f>
        <v>21036.372499999998</v>
      </c>
    </row>
    <row r="234" spans="5:16" x14ac:dyDescent="0.25">
      <c r="E234" s="2">
        <v>10232</v>
      </c>
      <c r="F234" s="8">
        <v>45767</v>
      </c>
      <c r="G234" s="2" t="s">
        <v>54</v>
      </c>
      <c r="H234" s="2" t="s">
        <v>45</v>
      </c>
      <c r="I234" s="2" t="s">
        <v>17</v>
      </c>
      <c r="J234" s="2" t="s">
        <v>55</v>
      </c>
      <c r="K234" s="2">
        <v>5</v>
      </c>
      <c r="L234" s="2">
        <v>2775.69</v>
      </c>
      <c r="M234" s="2">
        <v>20</v>
      </c>
      <c r="N234" s="2" t="s">
        <v>23</v>
      </c>
      <c r="O234">
        <f t="shared" si="3"/>
        <v>13878.45</v>
      </c>
      <c r="P234">
        <f>O234-(O234*M234/100)</f>
        <v>11102.76</v>
      </c>
    </row>
    <row r="235" spans="5:16" x14ac:dyDescent="0.25">
      <c r="E235" s="2">
        <v>10233</v>
      </c>
      <c r="F235" s="8">
        <v>45896</v>
      </c>
      <c r="G235" s="2" t="s">
        <v>24</v>
      </c>
      <c r="H235" s="2" t="s">
        <v>51</v>
      </c>
      <c r="I235" s="2" t="s">
        <v>12</v>
      </c>
      <c r="J235" s="2" t="s">
        <v>33</v>
      </c>
      <c r="K235" s="2">
        <v>10</v>
      </c>
      <c r="L235" s="2">
        <v>1760.21</v>
      </c>
      <c r="M235" s="2">
        <v>5</v>
      </c>
      <c r="N235" s="2" t="s">
        <v>14</v>
      </c>
      <c r="O235">
        <f t="shared" si="3"/>
        <v>17602.099999999999</v>
      </c>
      <c r="P235">
        <f>O235-(O235*M235/100)</f>
        <v>16721.994999999999</v>
      </c>
    </row>
    <row r="236" spans="5:16" x14ac:dyDescent="0.25">
      <c r="E236" s="2">
        <v>10234</v>
      </c>
      <c r="F236" s="8">
        <v>45955</v>
      </c>
      <c r="G236" s="2" t="s">
        <v>39</v>
      </c>
      <c r="H236" s="2" t="s">
        <v>16</v>
      </c>
      <c r="I236" s="2" t="s">
        <v>34</v>
      </c>
      <c r="J236" s="2" t="s">
        <v>50</v>
      </c>
      <c r="K236" s="2">
        <v>9</v>
      </c>
      <c r="L236" s="2">
        <v>425.66</v>
      </c>
      <c r="M236" s="2">
        <v>5</v>
      </c>
      <c r="N236" s="2" t="s">
        <v>30</v>
      </c>
      <c r="O236">
        <f t="shared" si="3"/>
        <v>3830.94</v>
      </c>
      <c r="P236">
        <f>O236-(O236*M236/100)</f>
        <v>3639.393</v>
      </c>
    </row>
    <row r="237" spans="5:16" x14ac:dyDescent="0.25">
      <c r="E237" s="2">
        <v>10235</v>
      </c>
      <c r="F237" s="8">
        <v>45983</v>
      </c>
      <c r="G237" s="2" t="s">
        <v>20</v>
      </c>
      <c r="H237" s="2" t="s">
        <v>47</v>
      </c>
      <c r="I237" s="2" t="s">
        <v>17</v>
      </c>
      <c r="J237" s="2" t="s">
        <v>18</v>
      </c>
      <c r="K237" s="2">
        <v>13</v>
      </c>
      <c r="L237" s="2">
        <v>2766.59</v>
      </c>
      <c r="M237" s="2">
        <v>20</v>
      </c>
      <c r="N237" s="2" t="s">
        <v>19</v>
      </c>
      <c r="O237">
        <f t="shared" si="3"/>
        <v>35965.67</v>
      </c>
      <c r="P237">
        <f>O237-(O237*M237/100)</f>
        <v>28772.536</v>
      </c>
    </row>
    <row r="238" spans="5:16" x14ac:dyDescent="0.25">
      <c r="E238" s="2">
        <v>10236</v>
      </c>
      <c r="F238" s="8">
        <v>45772</v>
      </c>
      <c r="G238" s="2" t="s">
        <v>39</v>
      </c>
      <c r="H238" s="2" t="s">
        <v>51</v>
      </c>
      <c r="I238" s="2" t="s">
        <v>17</v>
      </c>
      <c r="J238" s="2" t="s">
        <v>55</v>
      </c>
      <c r="K238" s="2">
        <v>14</v>
      </c>
      <c r="L238" s="2">
        <v>2443.9899999999998</v>
      </c>
      <c r="M238" s="2">
        <v>20</v>
      </c>
      <c r="N238" s="2" t="s">
        <v>14</v>
      </c>
      <c r="O238">
        <f t="shared" si="3"/>
        <v>34215.86</v>
      </c>
      <c r="P238">
        <f>O238-(O238*M238/100)</f>
        <v>27372.688000000002</v>
      </c>
    </row>
    <row r="239" spans="5:16" x14ac:dyDescent="0.25">
      <c r="E239" s="2">
        <v>10237</v>
      </c>
      <c r="F239" s="8">
        <v>45821</v>
      </c>
      <c r="G239" s="2" t="s">
        <v>42</v>
      </c>
      <c r="H239" s="2" t="s">
        <v>51</v>
      </c>
      <c r="I239" s="2" t="s">
        <v>40</v>
      </c>
      <c r="J239" s="2" t="s">
        <v>53</v>
      </c>
      <c r="K239" s="2">
        <v>17</v>
      </c>
      <c r="L239" s="2">
        <v>3483.09</v>
      </c>
      <c r="M239" s="2">
        <v>15</v>
      </c>
      <c r="N239" s="2" t="s">
        <v>30</v>
      </c>
      <c r="O239">
        <f t="shared" si="3"/>
        <v>59212.53</v>
      </c>
      <c r="P239">
        <f>O239-(O239*M239/100)</f>
        <v>50330.650500000003</v>
      </c>
    </row>
    <row r="240" spans="5:16" x14ac:dyDescent="0.25">
      <c r="E240" s="2">
        <v>10238</v>
      </c>
      <c r="F240" s="8">
        <v>45673</v>
      </c>
      <c r="G240" s="2" t="s">
        <v>42</v>
      </c>
      <c r="H240" s="2" t="s">
        <v>11</v>
      </c>
      <c r="I240" s="2" t="s">
        <v>34</v>
      </c>
      <c r="J240" s="2" t="s">
        <v>44</v>
      </c>
      <c r="K240" s="2">
        <v>16</v>
      </c>
      <c r="L240" s="2">
        <v>4026.73</v>
      </c>
      <c r="M240" s="2">
        <v>15</v>
      </c>
      <c r="N240" s="2" t="s">
        <v>30</v>
      </c>
      <c r="O240">
        <f t="shared" si="3"/>
        <v>64427.68</v>
      </c>
      <c r="P240">
        <f>O240-(O240*M240/100)</f>
        <v>54763.527999999998</v>
      </c>
    </row>
    <row r="241" spans="5:16" x14ac:dyDescent="0.25">
      <c r="E241" s="2">
        <v>10239</v>
      </c>
      <c r="F241" s="8">
        <v>45724</v>
      </c>
      <c r="G241" s="2" t="s">
        <v>32</v>
      </c>
      <c r="H241" s="2" t="s">
        <v>11</v>
      </c>
      <c r="I241" s="2" t="s">
        <v>40</v>
      </c>
      <c r="J241" s="2" t="s">
        <v>41</v>
      </c>
      <c r="K241" s="2">
        <v>15</v>
      </c>
      <c r="L241" s="2">
        <v>2880.19</v>
      </c>
      <c r="M241" s="2">
        <v>5</v>
      </c>
      <c r="N241" s="2" t="s">
        <v>14</v>
      </c>
      <c r="O241">
        <f t="shared" si="3"/>
        <v>43202.85</v>
      </c>
      <c r="P241">
        <f>O241-(O241*M241/100)</f>
        <v>41042.707499999997</v>
      </c>
    </row>
    <row r="242" spans="5:16" x14ac:dyDescent="0.25">
      <c r="E242" s="2">
        <v>10240</v>
      </c>
      <c r="F242" s="8">
        <v>45734</v>
      </c>
      <c r="G242" s="2" t="s">
        <v>31</v>
      </c>
      <c r="H242" s="2" t="s">
        <v>37</v>
      </c>
      <c r="I242" s="2" t="s">
        <v>17</v>
      </c>
      <c r="J242" s="2" t="s">
        <v>28</v>
      </c>
      <c r="K242" s="2">
        <v>19</v>
      </c>
      <c r="L242" s="2">
        <v>3338.52</v>
      </c>
      <c r="M242" s="2">
        <v>10</v>
      </c>
      <c r="N242" s="2" t="s">
        <v>19</v>
      </c>
      <c r="O242">
        <f t="shared" si="3"/>
        <v>63431.88</v>
      </c>
      <c r="P242">
        <f>O242-(O242*M242/100)</f>
        <v>57088.691999999995</v>
      </c>
    </row>
    <row r="243" spans="5:16" x14ac:dyDescent="0.25">
      <c r="E243" s="2">
        <v>10241</v>
      </c>
      <c r="F243" s="8">
        <v>45739</v>
      </c>
      <c r="G243" s="2" t="s">
        <v>42</v>
      </c>
      <c r="H243" s="2" t="s">
        <v>16</v>
      </c>
      <c r="I243" s="2" t="s">
        <v>40</v>
      </c>
      <c r="J243" s="2" t="s">
        <v>41</v>
      </c>
      <c r="K243" s="2">
        <v>3</v>
      </c>
      <c r="L243" s="2">
        <v>1268.51</v>
      </c>
      <c r="M243" s="2">
        <v>15</v>
      </c>
      <c r="N243" s="2" t="s">
        <v>14</v>
      </c>
      <c r="O243">
        <f t="shared" si="3"/>
        <v>3805.5299999999997</v>
      </c>
      <c r="P243">
        <f>O243-(O243*M243/100)</f>
        <v>3234.7004999999999</v>
      </c>
    </row>
    <row r="244" spans="5:16" x14ac:dyDescent="0.25">
      <c r="E244" s="2">
        <v>10242</v>
      </c>
      <c r="F244" s="8">
        <v>45893</v>
      </c>
      <c r="G244" s="2" t="s">
        <v>54</v>
      </c>
      <c r="H244" s="2" t="s">
        <v>52</v>
      </c>
      <c r="I244" s="2" t="s">
        <v>34</v>
      </c>
      <c r="J244" s="2" t="s">
        <v>35</v>
      </c>
      <c r="K244" s="2">
        <v>19</v>
      </c>
      <c r="L244" s="2">
        <v>3130.97</v>
      </c>
      <c r="M244" s="2">
        <v>5</v>
      </c>
      <c r="N244" s="2" t="s">
        <v>19</v>
      </c>
      <c r="O244">
        <f t="shared" si="3"/>
        <v>59488.429999999993</v>
      </c>
      <c r="P244">
        <f>O244-(O244*M244/100)</f>
        <v>56514.008499999996</v>
      </c>
    </row>
    <row r="245" spans="5:16" x14ac:dyDescent="0.25">
      <c r="E245" s="2">
        <v>10243</v>
      </c>
      <c r="F245" s="8">
        <v>45848</v>
      </c>
      <c r="G245" s="2" t="s">
        <v>42</v>
      </c>
      <c r="H245" s="2" t="s">
        <v>45</v>
      </c>
      <c r="I245" s="2" t="s">
        <v>34</v>
      </c>
      <c r="J245" s="2" t="s">
        <v>38</v>
      </c>
      <c r="K245" s="2">
        <v>3</v>
      </c>
      <c r="L245" s="2">
        <v>1172.81</v>
      </c>
      <c r="M245" s="2">
        <v>5</v>
      </c>
      <c r="N245" s="2" t="s">
        <v>19</v>
      </c>
      <c r="O245">
        <f t="shared" si="3"/>
        <v>3518.43</v>
      </c>
      <c r="P245">
        <f>O245-(O245*M245/100)</f>
        <v>3342.5084999999999</v>
      </c>
    </row>
    <row r="246" spans="5:16" x14ac:dyDescent="0.25">
      <c r="E246" s="2">
        <v>10244</v>
      </c>
      <c r="F246" s="8">
        <v>45673</v>
      </c>
      <c r="G246" s="2" t="s">
        <v>54</v>
      </c>
      <c r="H246" s="2" t="s">
        <v>25</v>
      </c>
      <c r="I246" s="2" t="s">
        <v>17</v>
      </c>
      <c r="J246" s="2" t="s">
        <v>18</v>
      </c>
      <c r="K246" s="2">
        <v>8</v>
      </c>
      <c r="L246" s="2">
        <v>720.11</v>
      </c>
      <c r="M246" s="2">
        <v>20</v>
      </c>
      <c r="N246" s="2" t="s">
        <v>19</v>
      </c>
      <c r="O246">
        <f t="shared" si="3"/>
        <v>5760.88</v>
      </c>
      <c r="P246">
        <f>O246-(O246*M246/100)</f>
        <v>4608.7039999999997</v>
      </c>
    </row>
    <row r="247" spans="5:16" x14ac:dyDescent="0.25">
      <c r="E247" s="2">
        <v>10245</v>
      </c>
      <c r="F247" s="8">
        <v>45813</v>
      </c>
      <c r="G247" s="2" t="s">
        <v>42</v>
      </c>
      <c r="H247" s="2" t="s">
        <v>47</v>
      </c>
      <c r="I247" s="2" t="s">
        <v>34</v>
      </c>
      <c r="J247" s="2" t="s">
        <v>44</v>
      </c>
      <c r="K247" s="2">
        <v>11</v>
      </c>
      <c r="L247" s="2">
        <v>4247.26</v>
      </c>
      <c r="M247" s="2">
        <v>15</v>
      </c>
      <c r="N247" s="2" t="s">
        <v>26</v>
      </c>
      <c r="O247">
        <f t="shared" si="3"/>
        <v>46719.86</v>
      </c>
      <c r="P247">
        <f>O247-(O247*M247/100)</f>
        <v>39711.881000000001</v>
      </c>
    </row>
    <row r="248" spans="5:16" x14ac:dyDescent="0.25">
      <c r="E248" s="2">
        <v>10246</v>
      </c>
      <c r="F248" s="8">
        <v>45711</v>
      </c>
      <c r="G248" s="2" t="s">
        <v>20</v>
      </c>
      <c r="H248" s="2" t="s">
        <v>37</v>
      </c>
      <c r="I248" s="2" t="s">
        <v>40</v>
      </c>
      <c r="J248" s="2" t="s">
        <v>53</v>
      </c>
      <c r="K248" s="2">
        <v>10</v>
      </c>
      <c r="L248" s="2">
        <v>2274.19</v>
      </c>
      <c r="M248" s="2">
        <v>5</v>
      </c>
      <c r="N248" s="2" t="s">
        <v>14</v>
      </c>
      <c r="O248">
        <f t="shared" si="3"/>
        <v>22741.9</v>
      </c>
      <c r="P248">
        <f>O248-(O248*M248/100)</f>
        <v>21604.805</v>
      </c>
    </row>
    <row r="249" spans="5:16" x14ac:dyDescent="0.25">
      <c r="E249" s="2">
        <v>10247</v>
      </c>
      <c r="F249" s="8">
        <v>45866</v>
      </c>
      <c r="G249" s="2" t="s">
        <v>54</v>
      </c>
      <c r="H249" s="2" t="s">
        <v>11</v>
      </c>
      <c r="I249" s="2" t="s">
        <v>34</v>
      </c>
      <c r="J249" s="2" t="s">
        <v>44</v>
      </c>
      <c r="K249" s="2">
        <v>2</v>
      </c>
      <c r="L249" s="2">
        <v>1313.3</v>
      </c>
      <c r="M249" s="2">
        <v>5</v>
      </c>
      <c r="N249" s="2" t="s">
        <v>26</v>
      </c>
      <c r="O249">
        <f t="shared" si="3"/>
        <v>2626.6</v>
      </c>
      <c r="P249">
        <f>O249-(O249*M249/100)</f>
        <v>2495.27</v>
      </c>
    </row>
    <row r="250" spans="5:16" x14ac:dyDescent="0.25">
      <c r="E250" s="2">
        <v>10248</v>
      </c>
      <c r="F250" s="8">
        <v>45836</v>
      </c>
      <c r="G250" s="2" t="s">
        <v>10</v>
      </c>
      <c r="H250" s="2" t="s">
        <v>16</v>
      </c>
      <c r="I250" s="2" t="s">
        <v>34</v>
      </c>
      <c r="J250" s="2" t="s">
        <v>35</v>
      </c>
      <c r="K250" s="2">
        <v>3</v>
      </c>
      <c r="L250" s="2">
        <v>2318.02</v>
      </c>
      <c r="M250" s="2">
        <v>20</v>
      </c>
      <c r="N250" s="2" t="s">
        <v>23</v>
      </c>
      <c r="O250">
        <f t="shared" si="3"/>
        <v>6954.0599999999995</v>
      </c>
      <c r="P250">
        <f>O250-(O250*M250/100)</f>
        <v>5563.2479999999996</v>
      </c>
    </row>
    <row r="251" spans="5:16" x14ac:dyDescent="0.25">
      <c r="E251" s="2">
        <v>10249</v>
      </c>
      <c r="F251" s="8">
        <v>45844</v>
      </c>
      <c r="G251" s="2" t="s">
        <v>24</v>
      </c>
      <c r="H251" s="2" t="s">
        <v>25</v>
      </c>
      <c r="I251" s="2" t="s">
        <v>34</v>
      </c>
      <c r="J251" s="2" t="s">
        <v>35</v>
      </c>
      <c r="K251" s="2">
        <v>19</v>
      </c>
      <c r="L251" s="2">
        <v>395.19</v>
      </c>
      <c r="M251" s="2">
        <v>0</v>
      </c>
      <c r="N251" s="2" t="s">
        <v>23</v>
      </c>
      <c r="O251">
        <f t="shared" si="3"/>
        <v>7508.61</v>
      </c>
      <c r="P251">
        <f>O251-(O251*M251/100)</f>
        <v>7508.61</v>
      </c>
    </row>
    <row r="252" spans="5:16" x14ac:dyDescent="0.25">
      <c r="E252" s="2">
        <v>10250</v>
      </c>
      <c r="F252" s="8">
        <v>45825</v>
      </c>
      <c r="G252" s="2" t="s">
        <v>31</v>
      </c>
      <c r="H252" s="2" t="s">
        <v>37</v>
      </c>
      <c r="I252" s="2" t="s">
        <v>34</v>
      </c>
      <c r="J252" s="2" t="s">
        <v>50</v>
      </c>
      <c r="K252" s="2">
        <v>5</v>
      </c>
      <c r="L252" s="2">
        <v>799.63</v>
      </c>
      <c r="M252" s="2">
        <v>0</v>
      </c>
      <c r="N252" s="2" t="s">
        <v>30</v>
      </c>
      <c r="O252">
        <f t="shared" si="3"/>
        <v>3998.15</v>
      </c>
      <c r="P252">
        <f>O252-(O252*M252/100)</f>
        <v>3998.15</v>
      </c>
    </row>
    <row r="253" spans="5:16" x14ac:dyDescent="0.25">
      <c r="E253" s="2">
        <v>10251</v>
      </c>
      <c r="F253" s="8">
        <v>45664</v>
      </c>
      <c r="G253" s="2" t="s">
        <v>24</v>
      </c>
      <c r="H253" s="2" t="s">
        <v>52</v>
      </c>
      <c r="I253" s="2" t="s">
        <v>40</v>
      </c>
      <c r="J253" s="2" t="s">
        <v>46</v>
      </c>
      <c r="K253" s="2">
        <v>12</v>
      </c>
      <c r="L253" s="2">
        <v>2807.78</v>
      </c>
      <c r="M253" s="2">
        <v>20</v>
      </c>
      <c r="N253" s="2" t="s">
        <v>19</v>
      </c>
      <c r="O253">
        <f t="shared" si="3"/>
        <v>33693.360000000001</v>
      </c>
      <c r="P253">
        <f>O253-(O253*M253/100)</f>
        <v>26954.688000000002</v>
      </c>
    </row>
    <row r="254" spans="5:16" x14ac:dyDescent="0.25">
      <c r="E254" s="2">
        <v>10252</v>
      </c>
      <c r="F254" s="8">
        <v>45688</v>
      </c>
      <c r="G254" s="2" t="s">
        <v>32</v>
      </c>
      <c r="H254" s="2" t="s">
        <v>51</v>
      </c>
      <c r="I254" s="2" t="s">
        <v>40</v>
      </c>
      <c r="J254" s="2" t="s">
        <v>41</v>
      </c>
      <c r="K254" s="2">
        <v>8</v>
      </c>
      <c r="L254" s="2">
        <v>276.88</v>
      </c>
      <c r="M254" s="2">
        <v>10</v>
      </c>
      <c r="N254" s="2" t="s">
        <v>30</v>
      </c>
      <c r="O254">
        <f t="shared" si="3"/>
        <v>2215.04</v>
      </c>
      <c r="P254">
        <f>O254-(O254*M254/100)</f>
        <v>1993.5360000000001</v>
      </c>
    </row>
    <row r="255" spans="5:16" x14ac:dyDescent="0.25">
      <c r="E255" s="2">
        <v>10253</v>
      </c>
      <c r="F255" s="8">
        <v>45772</v>
      </c>
      <c r="G255" s="2" t="s">
        <v>48</v>
      </c>
      <c r="H255" s="2" t="s">
        <v>21</v>
      </c>
      <c r="I255" s="2" t="s">
        <v>12</v>
      </c>
      <c r="J255" s="2" t="s">
        <v>56</v>
      </c>
      <c r="K255" s="2">
        <v>3</v>
      </c>
      <c r="L255" s="2">
        <v>2849.85</v>
      </c>
      <c r="M255" s="2">
        <v>5</v>
      </c>
      <c r="N255" s="2" t="s">
        <v>30</v>
      </c>
      <c r="O255">
        <f t="shared" si="3"/>
        <v>8549.5499999999993</v>
      </c>
      <c r="P255">
        <f>O255-(O255*M255/100)</f>
        <v>8122.0724999999993</v>
      </c>
    </row>
    <row r="256" spans="5:16" x14ac:dyDescent="0.25">
      <c r="E256" s="2">
        <v>10254</v>
      </c>
      <c r="F256" s="8">
        <v>45984</v>
      </c>
      <c r="G256" s="2" t="s">
        <v>54</v>
      </c>
      <c r="H256" s="2" t="s">
        <v>37</v>
      </c>
      <c r="I256" s="2" t="s">
        <v>40</v>
      </c>
      <c r="J256" s="2" t="s">
        <v>46</v>
      </c>
      <c r="K256" s="2">
        <v>3</v>
      </c>
      <c r="L256" s="2">
        <v>3441.81</v>
      </c>
      <c r="M256" s="2">
        <v>10</v>
      </c>
      <c r="N256" s="2" t="s">
        <v>30</v>
      </c>
      <c r="O256">
        <f t="shared" si="3"/>
        <v>10325.43</v>
      </c>
      <c r="P256">
        <f>O256-(O256*M256/100)</f>
        <v>9292.8870000000006</v>
      </c>
    </row>
    <row r="257" spans="5:16" x14ac:dyDescent="0.25">
      <c r="E257" s="2">
        <v>10255</v>
      </c>
      <c r="F257" s="8">
        <v>46022</v>
      </c>
      <c r="G257" s="2" t="s">
        <v>15</v>
      </c>
      <c r="H257" s="2" t="s">
        <v>21</v>
      </c>
      <c r="I257" s="2" t="s">
        <v>17</v>
      </c>
      <c r="J257" s="2" t="s">
        <v>55</v>
      </c>
      <c r="K257" s="2">
        <v>7</v>
      </c>
      <c r="L257" s="2">
        <v>3851.29</v>
      </c>
      <c r="M257" s="2">
        <v>10</v>
      </c>
      <c r="N257" s="2" t="s">
        <v>23</v>
      </c>
      <c r="O257">
        <f t="shared" si="3"/>
        <v>26959.03</v>
      </c>
      <c r="P257">
        <f>O257-(O257*M257/100)</f>
        <v>24263.127</v>
      </c>
    </row>
    <row r="258" spans="5:16" x14ac:dyDescent="0.25">
      <c r="E258" s="2">
        <v>10256</v>
      </c>
      <c r="F258" s="8">
        <v>45975</v>
      </c>
      <c r="G258" s="2" t="s">
        <v>20</v>
      </c>
      <c r="H258" s="2" t="s">
        <v>11</v>
      </c>
      <c r="I258" s="2" t="s">
        <v>17</v>
      </c>
      <c r="J258" s="2" t="s">
        <v>36</v>
      </c>
      <c r="K258" s="2">
        <v>18</v>
      </c>
      <c r="L258" s="2">
        <v>4842.1099999999997</v>
      </c>
      <c r="M258" s="2">
        <v>5</v>
      </c>
      <c r="N258" s="2" t="s">
        <v>30</v>
      </c>
      <c r="O258">
        <f t="shared" si="3"/>
        <v>87157.98</v>
      </c>
      <c r="P258">
        <f>O258-(O258*M258/100)</f>
        <v>82800.080999999991</v>
      </c>
    </row>
    <row r="259" spans="5:16" x14ac:dyDescent="0.25">
      <c r="E259" s="2">
        <v>10257</v>
      </c>
      <c r="F259" s="8">
        <v>45873</v>
      </c>
      <c r="G259" s="2" t="s">
        <v>10</v>
      </c>
      <c r="H259" s="2" t="s">
        <v>25</v>
      </c>
      <c r="I259" s="2" t="s">
        <v>40</v>
      </c>
      <c r="J259" s="2" t="s">
        <v>53</v>
      </c>
      <c r="K259" s="2">
        <v>17</v>
      </c>
      <c r="L259" s="2">
        <v>3101.55</v>
      </c>
      <c r="M259" s="2">
        <v>20</v>
      </c>
      <c r="N259" s="2" t="s">
        <v>14</v>
      </c>
      <c r="O259">
        <f t="shared" si="3"/>
        <v>52726.350000000006</v>
      </c>
      <c r="P259">
        <f>O259-(O259*M259/100)</f>
        <v>42181.08</v>
      </c>
    </row>
    <row r="260" spans="5:16" x14ac:dyDescent="0.25">
      <c r="E260" s="2">
        <v>10258</v>
      </c>
      <c r="F260" s="8">
        <v>45785</v>
      </c>
      <c r="G260" s="2" t="s">
        <v>31</v>
      </c>
      <c r="H260" s="2" t="s">
        <v>25</v>
      </c>
      <c r="I260" s="2" t="s">
        <v>34</v>
      </c>
      <c r="J260" s="2" t="s">
        <v>44</v>
      </c>
      <c r="K260" s="2">
        <v>8</v>
      </c>
      <c r="L260" s="2">
        <v>1133.76</v>
      </c>
      <c r="M260" s="2">
        <v>5</v>
      </c>
      <c r="N260" s="2" t="s">
        <v>14</v>
      </c>
      <c r="O260">
        <f t="shared" ref="O260:O323" si="4">K260*L260</f>
        <v>9070.08</v>
      </c>
      <c r="P260">
        <f>O260-(O260*M260/100)</f>
        <v>8616.5759999999991</v>
      </c>
    </row>
    <row r="261" spans="5:16" x14ac:dyDescent="0.25">
      <c r="E261" s="2">
        <v>10259</v>
      </c>
      <c r="F261" s="8">
        <v>45874</v>
      </c>
      <c r="G261" s="2" t="s">
        <v>48</v>
      </c>
      <c r="H261" s="2" t="s">
        <v>21</v>
      </c>
      <c r="I261" s="2" t="s">
        <v>12</v>
      </c>
      <c r="J261" s="2" t="s">
        <v>22</v>
      </c>
      <c r="K261" s="2">
        <v>8</v>
      </c>
      <c r="L261" s="2">
        <v>3137.58</v>
      </c>
      <c r="M261" s="2">
        <v>10</v>
      </c>
      <c r="N261" s="2" t="s">
        <v>26</v>
      </c>
      <c r="O261">
        <f t="shared" si="4"/>
        <v>25100.639999999999</v>
      </c>
      <c r="P261">
        <f>O261-(O261*M261/100)</f>
        <v>22590.576000000001</v>
      </c>
    </row>
    <row r="262" spans="5:16" x14ac:dyDescent="0.25">
      <c r="E262" s="2">
        <v>10260</v>
      </c>
      <c r="F262" s="8">
        <v>45977</v>
      </c>
      <c r="G262" s="2" t="s">
        <v>27</v>
      </c>
      <c r="H262" s="2" t="s">
        <v>21</v>
      </c>
      <c r="I262" s="2" t="s">
        <v>17</v>
      </c>
      <c r="J262" s="2" t="s">
        <v>28</v>
      </c>
      <c r="K262" s="2">
        <v>3</v>
      </c>
      <c r="L262" s="2">
        <v>107.91</v>
      </c>
      <c r="M262" s="2">
        <v>20</v>
      </c>
      <c r="N262" s="2" t="s">
        <v>30</v>
      </c>
      <c r="O262">
        <f t="shared" si="4"/>
        <v>323.73</v>
      </c>
      <c r="P262">
        <f>O262-(O262*M262/100)</f>
        <v>258.98400000000004</v>
      </c>
    </row>
    <row r="263" spans="5:16" x14ac:dyDescent="0.25">
      <c r="E263" s="2">
        <v>10261</v>
      </c>
      <c r="F263" s="8">
        <v>45907</v>
      </c>
      <c r="G263" s="2" t="s">
        <v>54</v>
      </c>
      <c r="H263" s="2" t="s">
        <v>11</v>
      </c>
      <c r="I263" s="2" t="s">
        <v>12</v>
      </c>
      <c r="J263" s="2" t="s">
        <v>22</v>
      </c>
      <c r="K263" s="2">
        <v>12</v>
      </c>
      <c r="L263" s="2">
        <v>4747.97</v>
      </c>
      <c r="M263" s="2">
        <v>10</v>
      </c>
      <c r="N263" s="2" t="s">
        <v>14</v>
      </c>
      <c r="O263">
        <f t="shared" si="4"/>
        <v>56975.64</v>
      </c>
      <c r="P263">
        <f>O263-(O263*M263/100)</f>
        <v>51278.076000000001</v>
      </c>
    </row>
    <row r="264" spans="5:16" x14ac:dyDescent="0.25">
      <c r="E264" s="2">
        <v>10262</v>
      </c>
      <c r="F264" s="8">
        <v>45790</v>
      </c>
      <c r="G264" s="2" t="s">
        <v>31</v>
      </c>
      <c r="H264" s="2" t="s">
        <v>51</v>
      </c>
      <c r="I264" s="2" t="s">
        <v>12</v>
      </c>
      <c r="J264" s="2" t="s">
        <v>33</v>
      </c>
      <c r="K264" s="2">
        <v>19</v>
      </c>
      <c r="L264" s="2">
        <v>3675.94</v>
      </c>
      <c r="M264" s="2">
        <v>20</v>
      </c>
      <c r="N264" s="2" t="s">
        <v>23</v>
      </c>
      <c r="O264">
        <f t="shared" si="4"/>
        <v>69842.86</v>
      </c>
      <c r="P264">
        <f>O264-(O264*M264/100)</f>
        <v>55874.288</v>
      </c>
    </row>
    <row r="265" spans="5:16" x14ac:dyDescent="0.25">
      <c r="E265" s="2">
        <v>10263</v>
      </c>
      <c r="F265" s="8">
        <v>45907</v>
      </c>
      <c r="G265" s="2" t="s">
        <v>10</v>
      </c>
      <c r="H265" s="2" t="s">
        <v>25</v>
      </c>
      <c r="I265" s="2" t="s">
        <v>40</v>
      </c>
      <c r="J265" s="2" t="s">
        <v>49</v>
      </c>
      <c r="K265" s="2">
        <v>16</v>
      </c>
      <c r="L265" s="2">
        <v>4025.04</v>
      </c>
      <c r="M265" s="2">
        <v>20</v>
      </c>
      <c r="N265" s="2" t="s">
        <v>26</v>
      </c>
      <c r="O265">
        <f t="shared" si="4"/>
        <v>64400.639999999999</v>
      </c>
      <c r="P265">
        <f>O265-(O265*M265/100)</f>
        <v>51520.512000000002</v>
      </c>
    </row>
    <row r="266" spans="5:16" x14ac:dyDescent="0.25">
      <c r="E266" s="2">
        <v>10264</v>
      </c>
      <c r="F266" s="8">
        <v>45894</v>
      </c>
      <c r="G266" s="2" t="s">
        <v>32</v>
      </c>
      <c r="H266" s="2" t="s">
        <v>52</v>
      </c>
      <c r="I266" s="2" t="s">
        <v>40</v>
      </c>
      <c r="J266" s="2" t="s">
        <v>49</v>
      </c>
      <c r="K266" s="2">
        <v>4</v>
      </c>
      <c r="L266" s="2">
        <v>3864.02</v>
      </c>
      <c r="M266" s="2">
        <v>15</v>
      </c>
      <c r="N266" s="2" t="s">
        <v>26</v>
      </c>
      <c r="O266">
        <f t="shared" si="4"/>
        <v>15456.08</v>
      </c>
      <c r="P266">
        <f>O266-(O266*M266/100)</f>
        <v>13137.668</v>
      </c>
    </row>
    <row r="267" spans="5:16" x14ac:dyDescent="0.25">
      <c r="E267" s="2">
        <v>10265</v>
      </c>
      <c r="F267" s="8">
        <v>45676</v>
      </c>
      <c r="G267" s="2" t="s">
        <v>54</v>
      </c>
      <c r="H267" s="2" t="s">
        <v>47</v>
      </c>
      <c r="I267" s="2" t="s">
        <v>34</v>
      </c>
      <c r="J267" s="2" t="s">
        <v>38</v>
      </c>
      <c r="K267" s="2">
        <v>5</v>
      </c>
      <c r="L267" s="2">
        <v>1333.54</v>
      </c>
      <c r="M267" s="2">
        <v>15</v>
      </c>
      <c r="N267" s="2" t="s">
        <v>19</v>
      </c>
      <c r="O267">
        <f t="shared" si="4"/>
        <v>6667.7</v>
      </c>
      <c r="P267">
        <f>O267-(O267*M267/100)</f>
        <v>5667.5450000000001</v>
      </c>
    </row>
    <row r="268" spans="5:16" x14ac:dyDescent="0.25">
      <c r="E268" s="2">
        <v>10266</v>
      </c>
      <c r="F268" s="8">
        <v>45829</v>
      </c>
      <c r="G268" s="2" t="s">
        <v>24</v>
      </c>
      <c r="H268" s="2" t="s">
        <v>45</v>
      </c>
      <c r="I268" s="2" t="s">
        <v>34</v>
      </c>
      <c r="J268" s="2" t="s">
        <v>38</v>
      </c>
      <c r="K268" s="2">
        <v>1</v>
      </c>
      <c r="L268" s="2">
        <v>4165.95</v>
      </c>
      <c r="M268" s="2">
        <v>0</v>
      </c>
      <c r="N268" s="2" t="s">
        <v>30</v>
      </c>
      <c r="O268">
        <f t="shared" si="4"/>
        <v>4165.95</v>
      </c>
      <c r="P268">
        <f>O268-(O268*M268/100)</f>
        <v>4165.95</v>
      </c>
    </row>
    <row r="269" spans="5:16" x14ac:dyDescent="0.25">
      <c r="E269" s="2">
        <v>10267</v>
      </c>
      <c r="F269" s="8">
        <v>45761</v>
      </c>
      <c r="G269" s="2" t="s">
        <v>39</v>
      </c>
      <c r="H269" s="2" t="s">
        <v>16</v>
      </c>
      <c r="I269" s="2" t="s">
        <v>12</v>
      </c>
      <c r="J269" s="2" t="s">
        <v>33</v>
      </c>
      <c r="K269" s="2">
        <v>5</v>
      </c>
      <c r="L269" s="2">
        <v>1234.1199999999999</v>
      </c>
      <c r="M269" s="2">
        <v>5</v>
      </c>
      <c r="N269" s="2" t="s">
        <v>30</v>
      </c>
      <c r="O269">
        <f t="shared" si="4"/>
        <v>6170.5999999999995</v>
      </c>
      <c r="P269">
        <f>O269-(O269*M269/100)</f>
        <v>5862.07</v>
      </c>
    </row>
    <row r="270" spans="5:16" x14ac:dyDescent="0.25">
      <c r="E270" s="2">
        <v>10268</v>
      </c>
      <c r="F270" s="8">
        <v>46022</v>
      </c>
      <c r="G270" s="2" t="s">
        <v>48</v>
      </c>
      <c r="H270" s="2" t="s">
        <v>29</v>
      </c>
      <c r="I270" s="2" t="s">
        <v>17</v>
      </c>
      <c r="J270" s="2" t="s">
        <v>28</v>
      </c>
      <c r="K270" s="2">
        <v>6</v>
      </c>
      <c r="L270" s="2">
        <v>346.51</v>
      </c>
      <c r="M270" s="2">
        <v>0</v>
      </c>
      <c r="N270" s="2" t="s">
        <v>19</v>
      </c>
      <c r="O270">
        <f t="shared" si="4"/>
        <v>2079.06</v>
      </c>
      <c r="P270">
        <f>O270-(O270*M270/100)</f>
        <v>2079.06</v>
      </c>
    </row>
    <row r="271" spans="5:16" x14ac:dyDescent="0.25">
      <c r="E271" s="2">
        <v>10269</v>
      </c>
      <c r="F271" s="8">
        <v>45698</v>
      </c>
      <c r="G271" s="2" t="s">
        <v>31</v>
      </c>
      <c r="H271" s="2" t="s">
        <v>37</v>
      </c>
      <c r="I271" s="2" t="s">
        <v>17</v>
      </c>
      <c r="J271" s="2" t="s">
        <v>55</v>
      </c>
      <c r="K271" s="2">
        <v>9</v>
      </c>
      <c r="L271" s="2">
        <v>2782.46</v>
      </c>
      <c r="M271" s="2">
        <v>10</v>
      </c>
      <c r="N271" s="2" t="s">
        <v>30</v>
      </c>
      <c r="O271">
        <f t="shared" si="4"/>
        <v>25042.14</v>
      </c>
      <c r="P271">
        <f>O271-(O271*M271/100)</f>
        <v>22537.925999999999</v>
      </c>
    </row>
    <row r="272" spans="5:16" x14ac:dyDescent="0.25">
      <c r="E272" s="2">
        <v>10270</v>
      </c>
      <c r="F272" s="8">
        <v>45987</v>
      </c>
      <c r="G272" s="2" t="s">
        <v>15</v>
      </c>
      <c r="H272" s="2" t="s">
        <v>51</v>
      </c>
      <c r="I272" s="2" t="s">
        <v>40</v>
      </c>
      <c r="J272" s="2" t="s">
        <v>49</v>
      </c>
      <c r="K272" s="2">
        <v>14</v>
      </c>
      <c r="L272" s="2">
        <v>4989.3999999999996</v>
      </c>
      <c r="M272" s="2">
        <v>0</v>
      </c>
      <c r="N272" s="2" t="s">
        <v>23</v>
      </c>
      <c r="O272">
        <f t="shared" si="4"/>
        <v>69851.599999999991</v>
      </c>
      <c r="P272">
        <f>O272-(O272*M272/100)</f>
        <v>69851.599999999991</v>
      </c>
    </row>
    <row r="273" spans="5:16" x14ac:dyDescent="0.25">
      <c r="E273" s="2">
        <v>10271</v>
      </c>
      <c r="F273" s="8">
        <v>45965</v>
      </c>
      <c r="G273" s="2" t="s">
        <v>24</v>
      </c>
      <c r="H273" s="2" t="s">
        <v>21</v>
      </c>
      <c r="I273" s="2" t="s">
        <v>12</v>
      </c>
      <c r="J273" s="2" t="s">
        <v>33</v>
      </c>
      <c r="K273" s="2">
        <v>18</v>
      </c>
      <c r="L273" s="2">
        <v>4950.07</v>
      </c>
      <c r="M273" s="2">
        <v>0</v>
      </c>
      <c r="N273" s="2" t="s">
        <v>14</v>
      </c>
      <c r="O273">
        <f t="shared" si="4"/>
        <v>89101.26</v>
      </c>
      <c r="P273">
        <f>O273-(O273*M273/100)</f>
        <v>89101.26</v>
      </c>
    </row>
    <row r="274" spans="5:16" x14ac:dyDescent="0.25">
      <c r="E274" s="2">
        <v>10272</v>
      </c>
      <c r="F274" s="8">
        <v>45828</v>
      </c>
      <c r="G274" s="2" t="s">
        <v>48</v>
      </c>
      <c r="H274" s="2" t="s">
        <v>11</v>
      </c>
      <c r="I274" s="2" t="s">
        <v>12</v>
      </c>
      <c r="J274" s="2" t="s">
        <v>56</v>
      </c>
      <c r="K274" s="2">
        <v>1</v>
      </c>
      <c r="L274" s="2">
        <v>131.38</v>
      </c>
      <c r="M274" s="2">
        <v>0</v>
      </c>
      <c r="N274" s="2" t="s">
        <v>26</v>
      </c>
      <c r="O274">
        <f t="shared" si="4"/>
        <v>131.38</v>
      </c>
      <c r="P274">
        <f>O274-(O274*M274/100)</f>
        <v>131.38</v>
      </c>
    </row>
    <row r="275" spans="5:16" x14ac:dyDescent="0.25">
      <c r="E275" s="2">
        <v>10273</v>
      </c>
      <c r="F275" s="8">
        <v>45958</v>
      </c>
      <c r="G275" s="2" t="s">
        <v>27</v>
      </c>
      <c r="H275" s="2" t="s">
        <v>11</v>
      </c>
      <c r="I275" s="2" t="s">
        <v>40</v>
      </c>
      <c r="J275" s="2" t="s">
        <v>41</v>
      </c>
      <c r="K275" s="2">
        <v>9</v>
      </c>
      <c r="L275" s="2">
        <v>363.55</v>
      </c>
      <c r="M275" s="2">
        <v>0</v>
      </c>
      <c r="N275" s="2" t="s">
        <v>14</v>
      </c>
      <c r="O275">
        <f t="shared" si="4"/>
        <v>3271.9500000000003</v>
      </c>
      <c r="P275">
        <f>O275-(O275*M275/100)</f>
        <v>3271.9500000000003</v>
      </c>
    </row>
    <row r="276" spans="5:16" x14ac:dyDescent="0.25">
      <c r="E276" s="2">
        <v>10274</v>
      </c>
      <c r="F276" s="8">
        <v>45770</v>
      </c>
      <c r="G276" s="2" t="s">
        <v>15</v>
      </c>
      <c r="H276" s="2" t="s">
        <v>45</v>
      </c>
      <c r="I276" s="2" t="s">
        <v>12</v>
      </c>
      <c r="J276" s="2" t="s">
        <v>22</v>
      </c>
      <c r="K276" s="2">
        <v>16</v>
      </c>
      <c r="L276" s="2">
        <v>2041.8</v>
      </c>
      <c r="M276" s="2">
        <v>5</v>
      </c>
      <c r="N276" s="2" t="s">
        <v>26</v>
      </c>
      <c r="O276">
        <f t="shared" si="4"/>
        <v>32668.799999999999</v>
      </c>
      <c r="P276">
        <f>O276-(O276*M276/100)</f>
        <v>31035.360000000001</v>
      </c>
    </row>
    <row r="277" spans="5:16" x14ac:dyDescent="0.25">
      <c r="E277" s="2">
        <v>10275</v>
      </c>
      <c r="F277" s="8">
        <v>45729</v>
      </c>
      <c r="G277" s="2" t="s">
        <v>15</v>
      </c>
      <c r="H277" s="2" t="s">
        <v>16</v>
      </c>
      <c r="I277" s="2" t="s">
        <v>12</v>
      </c>
      <c r="J277" s="2" t="s">
        <v>56</v>
      </c>
      <c r="K277" s="2">
        <v>7</v>
      </c>
      <c r="L277" s="2">
        <v>3258.04</v>
      </c>
      <c r="M277" s="2">
        <v>5</v>
      </c>
      <c r="N277" s="2" t="s">
        <v>14</v>
      </c>
      <c r="O277">
        <f t="shared" si="4"/>
        <v>22806.28</v>
      </c>
      <c r="P277">
        <f>O277-(O277*M277/100)</f>
        <v>21665.966</v>
      </c>
    </row>
    <row r="278" spans="5:16" x14ac:dyDescent="0.25">
      <c r="E278" s="2">
        <v>10276</v>
      </c>
      <c r="F278" s="8">
        <v>45971</v>
      </c>
      <c r="G278" s="2" t="s">
        <v>32</v>
      </c>
      <c r="H278" s="2" t="s">
        <v>52</v>
      </c>
      <c r="I278" s="2" t="s">
        <v>34</v>
      </c>
      <c r="J278" s="2" t="s">
        <v>50</v>
      </c>
      <c r="K278" s="2">
        <v>2</v>
      </c>
      <c r="L278" s="2">
        <v>2640.73</v>
      </c>
      <c r="M278" s="2">
        <v>15</v>
      </c>
      <c r="N278" s="2" t="s">
        <v>14</v>
      </c>
      <c r="O278">
        <f t="shared" si="4"/>
        <v>5281.46</v>
      </c>
      <c r="P278">
        <f>O278-(O278*M278/100)</f>
        <v>4489.241</v>
      </c>
    </row>
    <row r="279" spans="5:16" x14ac:dyDescent="0.25">
      <c r="E279" s="2">
        <v>10277</v>
      </c>
      <c r="F279" s="8">
        <v>45754</v>
      </c>
      <c r="G279" s="2" t="s">
        <v>24</v>
      </c>
      <c r="H279" s="2" t="s">
        <v>47</v>
      </c>
      <c r="I279" s="2" t="s">
        <v>17</v>
      </c>
      <c r="J279" s="2" t="s">
        <v>18</v>
      </c>
      <c r="K279" s="2">
        <v>19</v>
      </c>
      <c r="L279" s="2">
        <v>4017.26</v>
      </c>
      <c r="M279" s="2">
        <v>0</v>
      </c>
      <c r="N279" s="2" t="s">
        <v>19</v>
      </c>
      <c r="O279">
        <f t="shared" si="4"/>
        <v>76327.94</v>
      </c>
      <c r="P279">
        <f>O279-(O279*M279/100)</f>
        <v>76327.94</v>
      </c>
    </row>
    <row r="280" spans="5:16" x14ac:dyDescent="0.25">
      <c r="E280" s="2">
        <v>10278</v>
      </c>
      <c r="F280" s="8">
        <v>45932</v>
      </c>
      <c r="G280" s="2" t="s">
        <v>42</v>
      </c>
      <c r="H280" s="2" t="s">
        <v>21</v>
      </c>
      <c r="I280" s="2" t="s">
        <v>34</v>
      </c>
      <c r="J280" s="2" t="s">
        <v>35</v>
      </c>
      <c r="K280" s="2">
        <v>18</v>
      </c>
      <c r="L280" s="2">
        <v>4002.33</v>
      </c>
      <c r="M280" s="2">
        <v>5</v>
      </c>
      <c r="N280" s="2" t="s">
        <v>23</v>
      </c>
      <c r="O280">
        <f t="shared" si="4"/>
        <v>72041.94</v>
      </c>
      <c r="P280">
        <f>O280-(O280*M280/100)</f>
        <v>68439.843000000008</v>
      </c>
    </row>
    <row r="281" spans="5:16" x14ac:dyDescent="0.25">
      <c r="E281" s="2">
        <v>10279</v>
      </c>
      <c r="F281" s="8">
        <v>45878</v>
      </c>
      <c r="G281" s="2" t="s">
        <v>31</v>
      </c>
      <c r="H281" s="2" t="s">
        <v>47</v>
      </c>
      <c r="I281" s="2" t="s">
        <v>12</v>
      </c>
      <c r="J281" s="2" t="s">
        <v>13</v>
      </c>
      <c r="K281" s="2">
        <v>19</v>
      </c>
      <c r="L281" s="2">
        <v>173.76</v>
      </c>
      <c r="M281" s="2">
        <v>20</v>
      </c>
      <c r="N281" s="2" t="s">
        <v>14</v>
      </c>
      <c r="O281">
        <f t="shared" si="4"/>
        <v>3301.4399999999996</v>
      </c>
      <c r="P281">
        <f>O281-(O281*M281/100)</f>
        <v>2641.1519999999996</v>
      </c>
    </row>
    <row r="282" spans="5:16" x14ac:dyDescent="0.25">
      <c r="E282" s="2">
        <v>10280</v>
      </c>
      <c r="F282" s="8">
        <v>45946</v>
      </c>
      <c r="G282" s="2" t="s">
        <v>20</v>
      </c>
      <c r="H282" s="2" t="s">
        <v>47</v>
      </c>
      <c r="I282" s="2" t="s">
        <v>40</v>
      </c>
      <c r="J282" s="2" t="s">
        <v>53</v>
      </c>
      <c r="K282" s="2">
        <v>14</v>
      </c>
      <c r="L282" s="2">
        <v>4051.72</v>
      </c>
      <c r="M282" s="2">
        <v>15</v>
      </c>
      <c r="N282" s="2" t="s">
        <v>30</v>
      </c>
      <c r="O282">
        <f t="shared" si="4"/>
        <v>56724.079999999994</v>
      </c>
      <c r="P282">
        <f>O282-(O282*M282/100)</f>
        <v>48215.467999999993</v>
      </c>
    </row>
    <row r="283" spans="5:16" x14ac:dyDescent="0.25">
      <c r="E283" s="2">
        <v>10281</v>
      </c>
      <c r="F283" s="8">
        <v>45665</v>
      </c>
      <c r="G283" s="2" t="s">
        <v>31</v>
      </c>
      <c r="H283" s="2" t="s">
        <v>45</v>
      </c>
      <c r="I283" s="2" t="s">
        <v>17</v>
      </c>
      <c r="J283" s="2" t="s">
        <v>55</v>
      </c>
      <c r="K283" s="2">
        <v>19</v>
      </c>
      <c r="L283" s="2">
        <v>3587.63</v>
      </c>
      <c r="M283" s="2">
        <v>10</v>
      </c>
      <c r="N283" s="2" t="s">
        <v>30</v>
      </c>
      <c r="O283">
        <f t="shared" si="4"/>
        <v>68164.97</v>
      </c>
      <c r="P283">
        <f>O283-(O283*M283/100)</f>
        <v>61348.472999999998</v>
      </c>
    </row>
    <row r="284" spans="5:16" x14ac:dyDescent="0.25">
      <c r="E284" s="2">
        <v>10282</v>
      </c>
      <c r="F284" s="8">
        <v>46004</v>
      </c>
      <c r="G284" s="2" t="s">
        <v>48</v>
      </c>
      <c r="H284" s="2" t="s">
        <v>52</v>
      </c>
      <c r="I284" s="2" t="s">
        <v>40</v>
      </c>
      <c r="J284" s="2" t="s">
        <v>41</v>
      </c>
      <c r="K284" s="2">
        <v>8</v>
      </c>
      <c r="L284" s="2">
        <v>1225.97</v>
      </c>
      <c r="M284" s="2">
        <v>15</v>
      </c>
      <c r="N284" s="2" t="s">
        <v>19</v>
      </c>
      <c r="O284">
        <f t="shared" si="4"/>
        <v>9807.76</v>
      </c>
      <c r="P284">
        <f>O284-(O284*M284/100)</f>
        <v>8336.5959999999995</v>
      </c>
    </row>
    <row r="285" spans="5:16" x14ac:dyDescent="0.25">
      <c r="E285" s="2">
        <v>10283</v>
      </c>
      <c r="F285" s="8">
        <v>45788</v>
      </c>
      <c r="G285" s="2" t="s">
        <v>10</v>
      </c>
      <c r="H285" s="2" t="s">
        <v>51</v>
      </c>
      <c r="I285" s="2" t="s">
        <v>12</v>
      </c>
      <c r="J285" s="2" t="s">
        <v>56</v>
      </c>
      <c r="K285" s="2">
        <v>2</v>
      </c>
      <c r="L285" s="2">
        <v>3274.51</v>
      </c>
      <c r="M285" s="2">
        <v>15</v>
      </c>
      <c r="N285" s="2" t="s">
        <v>23</v>
      </c>
      <c r="O285">
        <f t="shared" si="4"/>
        <v>6549.02</v>
      </c>
      <c r="P285">
        <f>O285-(O285*M285/100)</f>
        <v>5566.6670000000004</v>
      </c>
    </row>
    <row r="286" spans="5:16" x14ac:dyDescent="0.25">
      <c r="E286" s="2">
        <v>10284</v>
      </c>
      <c r="F286" s="8">
        <v>45802</v>
      </c>
      <c r="G286" s="2" t="s">
        <v>43</v>
      </c>
      <c r="H286" s="2" t="s">
        <v>29</v>
      </c>
      <c r="I286" s="2" t="s">
        <v>34</v>
      </c>
      <c r="J286" s="2" t="s">
        <v>35</v>
      </c>
      <c r="K286" s="2">
        <v>13</v>
      </c>
      <c r="L286" s="2">
        <v>2658.4</v>
      </c>
      <c r="M286" s="2">
        <v>20</v>
      </c>
      <c r="N286" s="2" t="s">
        <v>19</v>
      </c>
      <c r="O286">
        <f t="shared" si="4"/>
        <v>34559.200000000004</v>
      </c>
      <c r="P286">
        <f>O286-(O286*M286/100)</f>
        <v>27647.360000000004</v>
      </c>
    </row>
    <row r="287" spans="5:16" x14ac:dyDescent="0.25">
      <c r="E287" s="2">
        <v>10285</v>
      </c>
      <c r="F287" s="8">
        <v>45829</v>
      </c>
      <c r="G287" s="2" t="s">
        <v>15</v>
      </c>
      <c r="H287" s="2" t="s">
        <v>47</v>
      </c>
      <c r="I287" s="2" t="s">
        <v>17</v>
      </c>
      <c r="J287" s="2" t="s">
        <v>55</v>
      </c>
      <c r="K287" s="2">
        <v>2</v>
      </c>
      <c r="L287" s="2">
        <v>3021.89</v>
      </c>
      <c r="M287" s="2">
        <v>0</v>
      </c>
      <c r="N287" s="2" t="s">
        <v>19</v>
      </c>
      <c r="O287">
        <f t="shared" si="4"/>
        <v>6043.78</v>
      </c>
      <c r="P287">
        <f>O287-(O287*M287/100)</f>
        <v>6043.78</v>
      </c>
    </row>
    <row r="288" spans="5:16" x14ac:dyDescent="0.25">
      <c r="E288" s="2">
        <v>10286</v>
      </c>
      <c r="F288" s="8">
        <v>45742</v>
      </c>
      <c r="G288" s="2" t="s">
        <v>15</v>
      </c>
      <c r="H288" s="2" t="s">
        <v>29</v>
      </c>
      <c r="I288" s="2" t="s">
        <v>12</v>
      </c>
      <c r="J288" s="2" t="s">
        <v>13</v>
      </c>
      <c r="K288" s="2">
        <v>3</v>
      </c>
      <c r="L288" s="2">
        <v>2865.17</v>
      </c>
      <c r="M288" s="2">
        <v>20</v>
      </c>
      <c r="N288" s="2" t="s">
        <v>23</v>
      </c>
      <c r="O288">
        <f t="shared" si="4"/>
        <v>8595.51</v>
      </c>
      <c r="P288">
        <f>O288-(O288*M288/100)</f>
        <v>6876.4080000000004</v>
      </c>
    </row>
    <row r="289" spans="5:16" x14ac:dyDescent="0.25">
      <c r="E289" s="2">
        <v>10287</v>
      </c>
      <c r="F289" s="8">
        <v>45788</v>
      </c>
      <c r="G289" s="2" t="s">
        <v>32</v>
      </c>
      <c r="H289" s="2" t="s">
        <v>21</v>
      </c>
      <c r="I289" s="2" t="s">
        <v>40</v>
      </c>
      <c r="J289" s="2" t="s">
        <v>46</v>
      </c>
      <c r="K289" s="2">
        <v>2</v>
      </c>
      <c r="L289" s="2">
        <v>4650.6899999999996</v>
      </c>
      <c r="M289" s="2">
        <v>10</v>
      </c>
      <c r="N289" s="2" t="s">
        <v>23</v>
      </c>
      <c r="O289">
        <f t="shared" si="4"/>
        <v>9301.3799999999992</v>
      </c>
      <c r="P289">
        <f>O289-(O289*M289/100)</f>
        <v>8371.2419999999984</v>
      </c>
    </row>
    <row r="290" spans="5:16" x14ac:dyDescent="0.25">
      <c r="E290" s="2">
        <v>10288</v>
      </c>
      <c r="F290" s="8">
        <v>45975</v>
      </c>
      <c r="G290" s="2" t="s">
        <v>15</v>
      </c>
      <c r="H290" s="2" t="s">
        <v>37</v>
      </c>
      <c r="I290" s="2" t="s">
        <v>17</v>
      </c>
      <c r="J290" s="2" t="s">
        <v>36</v>
      </c>
      <c r="K290" s="2">
        <v>5</v>
      </c>
      <c r="L290" s="2">
        <v>3658.09</v>
      </c>
      <c r="M290" s="2">
        <v>10</v>
      </c>
      <c r="N290" s="2" t="s">
        <v>14</v>
      </c>
      <c r="O290">
        <f t="shared" si="4"/>
        <v>18290.45</v>
      </c>
      <c r="P290">
        <f>O290-(O290*M290/100)</f>
        <v>16461.404999999999</v>
      </c>
    </row>
    <row r="291" spans="5:16" x14ac:dyDescent="0.25">
      <c r="E291" s="2">
        <v>10289</v>
      </c>
      <c r="F291" s="8">
        <v>45771</v>
      </c>
      <c r="G291" s="2" t="s">
        <v>48</v>
      </c>
      <c r="H291" s="2" t="s">
        <v>47</v>
      </c>
      <c r="I291" s="2" t="s">
        <v>12</v>
      </c>
      <c r="J291" s="2" t="s">
        <v>22</v>
      </c>
      <c r="K291" s="2">
        <v>12</v>
      </c>
      <c r="L291" s="2">
        <v>4110.67</v>
      </c>
      <c r="M291" s="2">
        <v>10</v>
      </c>
      <c r="N291" s="2" t="s">
        <v>30</v>
      </c>
      <c r="O291">
        <f t="shared" si="4"/>
        <v>49328.04</v>
      </c>
      <c r="P291">
        <f>O291-(O291*M291/100)</f>
        <v>44395.236000000004</v>
      </c>
    </row>
    <row r="292" spans="5:16" x14ac:dyDescent="0.25">
      <c r="E292" s="2">
        <v>10290</v>
      </c>
      <c r="F292" s="8">
        <v>45975</v>
      </c>
      <c r="G292" s="2" t="s">
        <v>54</v>
      </c>
      <c r="H292" s="2" t="s">
        <v>21</v>
      </c>
      <c r="I292" s="2" t="s">
        <v>17</v>
      </c>
      <c r="J292" s="2" t="s">
        <v>18</v>
      </c>
      <c r="K292" s="2">
        <v>7</v>
      </c>
      <c r="L292" s="2">
        <v>4856.88</v>
      </c>
      <c r="M292" s="2">
        <v>5</v>
      </c>
      <c r="N292" s="2" t="s">
        <v>30</v>
      </c>
      <c r="O292">
        <f t="shared" si="4"/>
        <v>33998.160000000003</v>
      </c>
      <c r="P292">
        <f>O292-(O292*M292/100)</f>
        <v>32298.252000000004</v>
      </c>
    </row>
    <row r="293" spans="5:16" x14ac:dyDescent="0.25">
      <c r="E293" s="2">
        <v>10291</v>
      </c>
      <c r="F293" s="8">
        <v>45702</v>
      </c>
      <c r="G293" s="2" t="s">
        <v>31</v>
      </c>
      <c r="H293" s="2" t="s">
        <v>11</v>
      </c>
      <c r="I293" s="2" t="s">
        <v>34</v>
      </c>
      <c r="J293" s="2" t="s">
        <v>38</v>
      </c>
      <c r="K293" s="2">
        <v>4</v>
      </c>
      <c r="L293" s="2">
        <v>686.9</v>
      </c>
      <c r="M293" s="2">
        <v>20</v>
      </c>
      <c r="N293" s="2" t="s">
        <v>14</v>
      </c>
      <c r="O293">
        <f t="shared" si="4"/>
        <v>2747.6</v>
      </c>
      <c r="P293">
        <f>O293-(O293*M293/100)</f>
        <v>2198.08</v>
      </c>
    </row>
    <row r="294" spans="5:16" x14ac:dyDescent="0.25">
      <c r="E294" s="2">
        <v>10292</v>
      </c>
      <c r="F294" s="8">
        <v>46015</v>
      </c>
      <c r="G294" s="2" t="s">
        <v>42</v>
      </c>
      <c r="H294" s="2" t="s">
        <v>29</v>
      </c>
      <c r="I294" s="2" t="s">
        <v>17</v>
      </c>
      <c r="J294" s="2" t="s">
        <v>18</v>
      </c>
      <c r="K294" s="2">
        <v>14</v>
      </c>
      <c r="L294" s="2">
        <v>4939.4799999999996</v>
      </c>
      <c r="M294" s="2">
        <v>0</v>
      </c>
      <c r="N294" s="2" t="s">
        <v>23</v>
      </c>
      <c r="O294">
        <f t="shared" si="4"/>
        <v>69152.72</v>
      </c>
      <c r="P294">
        <f>O294-(O294*M294/100)</f>
        <v>69152.72</v>
      </c>
    </row>
    <row r="295" spans="5:16" x14ac:dyDescent="0.25">
      <c r="E295" s="2">
        <v>10293</v>
      </c>
      <c r="F295" s="8">
        <v>45705</v>
      </c>
      <c r="G295" s="2" t="s">
        <v>43</v>
      </c>
      <c r="H295" s="2" t="s">
        <v>45</v>
      </c>
      <c r="I295" s="2" t="s">
        <v>40</v>
      </c>
      <c r="J295" s="2" t="s">
        <v>41</v>
      </c>
      <c r="K295" s="2">
        <v>5</v>
      </c>
      <c r="L295" s="2">
        <v>112.97</v>
      </c>
      <c r="M295" s="2">
        <v>20</v>
      </c>
      <c r="N295" s="2" t="s">
        <v>26</v>
      </c>
      <c r="O295">
        <f t="shared" si="4"/>
        <v>564.85</v>
      </c>
      <c r="P295">
        <f>O295-(O295*M295/100)</f>
        <v>451.88</v>
      </c>
    </row>
    <row r="296" spans="5:16" x14ac:dyDescent="0.25">
      <c r="E296" s="2">
        <v>10294</v>
      </c>
      <c r="F296" s="8">
        <v>45701</v>
      </c>
      <c r="G296" s="2" t="s">
        <v>27</v>
      </c>
      <c r="H296" s="2" t="s">
        <v>16</v>
      </c>
      <c r="I296" s="2" t="s">
        <v>17</v>
      </c>
      <c r="J296" s="2" t="s">
        <v>18</v>
      </c>
      <c r="K296" s="2">
        <v>12</v>
      </c>
      <c r="L296" s="2">
        <v>1110.03</v>
      </c>
      <c r="M296" s="2">
        <v>20</v>
      </c>
      <c r="N296" s="2" t="s">
        <v>19</v>
      </c>
      <c r="O296">
        <f t="shared" si="4"/>
        <v>13320.36</v>
      </c>
      <c r="P296">
        <f>O296-(O296*M296/100)</f>
        <v>10656.288</v>
      </c>
    </row>
    <row r="297" spans="5:16" x14ac:dyDescent="0.25">
      <c r="E297" s="2">
        <v>10295</v>
      </c>
      <c r="F297" s="8">
        <v>45758</v>
      </c>
      <c r="G297" s="2" t="s">
        <v>31</v>
      </c>
      <c r="H297" s="2" t="s">
        <v>37</v>
      </c>
      <c r="I297" s="2" t="s">
        <v>17</v>
      </c>
      <c r="J297" s="2" t="s">
        <v>55</v>
      </c>
      <c r="K297" s="2">
        <v>16</v>
      </c>
      <c r="L297" s="2">
        <v>3901.53</v>
      </c>
      <c r="M297" s="2">
        <v>0</v>
      </c>
      <c r="N297" s="2" t="s">
        <v>14</v>
      </c>
      <c r="O297">
        <f t="shared" si="4"/>
        <v>62424.480000000003</v>
      </c>
      <c r="P297">
        <f>O297-(O297*M297/100)</f>
        <v>62424.480000000003</v>
      </c>
    </row>
    <row r="298" spans="5:16" x14ac:dyDescent="0.25">
      <c r="E298" s="2">
        <v>10296</v>
      </c>
      <c r="F298" s="8">
        <v>45746</v>
      </c>
      <c r="G298" s="2" t="s">
        <v>10</v>
      </c>
      <c r="H298" s="2" t="s">
        <v>21</v>
      </c>
      <c r="I298" s="2" t="s">
        <v>40</v>
      </c>
      <c r="J298" s="2" t="s">
        <v>49</v>
      </c>
      <c r="K298" s="2">
        <v>20</v>
      </c>
      <c r="L298" s="2">
        <v>3728.86</v>
      </c>
      <c r="M298" s="2">
        <v>0</v>
      </c>
      <c r="N298" s="2" t="s">
        <v>14</v>
      </c>
      <c r="O298">
        <f t="shared" si="4"/>
        <v>74577.2</v>
      </c>
      <c r="P298">
        <f>O298-(O298*M298/100)</f>
        <v>74577.2</v>
      </c>
    </row>
    <row r="299" spans="5:16" x14ac:dyDescent="0.25">
      <c r="E299" s="2">
        <v>10297</v>
      </c>
      <c r="F299" s="8">
        <v>45810</v>
      </c>
      <c r="G299" s="2" t="s">
        <v>43</v>
      </c>
      <c r="H299" s="2" t="s">
        <v>16</v>
      </c>
      <c r="I299" s="2" t="s">
        <v>17</v>
      </c>
      <c r="J299" s="2" t="s">
        <v>55</v>
      </c>
      <c r="K299" s="2">
        <v>10</v>
      </c>
      <c r="L299" s="2">
        <v>4515.28</v>
      </c>
      <c r="M299" s="2">
        <v>10</v>
      </c>
      <c r="N299" s="2" t="s">
        <v>23</v>
      </c>
      <c r="O299">
        <f t="shared" si="4"/>
        <v>45152.799999999996</v>
      </c>
      <c r="P299">
        <f>O299-(O299*M299/100)</f>
        <v>40637.519999999997</v>
      </c>
    </row>
    <row r="300" spans="5:16" x14ac:dyDescent="0.25">
      <c r="E300" s="2">
        <v>10298</v>
      </c>
      <c r="F300" s="8">
        <v>45888</v>
      </c>
      <c r="G300" s="2" t="s">
        <v>31</v>
      </c>
      <c r="H300" s="2" t="s">
        <v>52</v>
      </c>
      <c r="I300" s="2" t="s">
        <v>34</v>
      </c>
      <c r="J300" s="2" t="s">
        <v>38</v>
      </c>
      <c r="K300" s="2">
        <v>19</v>
      </c>
      <c r="L300" s="2">
        <v>266.16000000000003</v>
      </c>
      <c r="M300" s="2">
        <v>10</v>
      </c>
      <c r="N300" s="2" t="s">
        <v>23</v>
      </c>
      <c r="O300">
        <f t="shared" si="4"/>
        <v>5057.0400000000009</v>
      </c>
      <c r="P300">
        <f>O300-(O300*M300/100)</f>
        <v>4551.3360000000011</v>
      </c>
    </row>
    <row r="301" spans="5:16" x14ac:dyDescent="0.25">
      <c r="E301" s="2">
        <v>10299</v>
      </c>
      <c r="F301" s="8">
        <v>45731</v>
      </c>
      <c r="G301" s="2" t="s">
        <v>24</v>
      </c>
      <c r="H301" s="2" t="s">
        <v>47</v>
      </c>
      <c r="I301" s="2" t="s">
        <v>34</v>
      </c>
      <c r="J301" s="2" t="s">
        <v>50</v>
      </c>
      <c r="K301" s="2">
        <v>16</v>
      </c>
      <c r="L301" s="2">
        <v>3438.75</v>
      </c>
      <c r="M301" s="2">
        <v>5</v>
      </c>
      <c r="N301" s="2" t="s">
        <v>26</v>
      </c>
      <c r="O301">
        <f t="shared" si="4"/>
        <v>55020</v>
      </c>
      <c r="P301">
        <f>O301-(O301*M301/100)</f>
        <v>52269</v>
      </c>
    </row>
    <row r="302" spans="5:16" x14ac:dyDescent="0.25">
      <c r="E302" s="2">
        <v>10300</v>
      </c>
      <c r="F302" s="8">
        <v>45691</v>
      </c>
      <c r="G302" s="2" t="s">
        <v>39</v>
      </c>
      <c r="H302" s="2" t="s">
        <v>16</v>
      </c>
      <c r="I302" s="2" t="s">
        <v>34</v>
      </c>
      <c r="J302" s="2" t="s">
        <v>38</v>
      </c>
      <c r="K302" s="2">
        <v>15</v>
      </c>
      <c r="L302" s="2">
        <v>1659.77</v>
      </c>
      <c r="M302" s="2">
        <v>5</v>
      </c>
      <c r="N302" s="2" t="s">
        <v>23</v>
      </c>
      <c r="O302">
        <f t="shared" si="4"/>
        <v>24896.55</v>
      </c>
      <c r="P302">
        <f>O302-(O302*M302/100)</f>
        <v>23651.7225</v>
      </c>
    </row>
    <row r="303" spans="5:16" x14ac:dyDescent="0.25">
      <c r="E303" s="2">
        <v>10301</v>
      </c>
      <c r="F303" s="8">
        <v>45908</v>
      </c>
      <c r="G303" s="2" t="s">
        <v>42</v>
      </c>
      <c r="H303" s="2" t="s">
        <v>21</v>
      </c>
      <c r="I303" s="2" t="s">
        <v>34</v>
      </c>
      <c r="J303" s="2" t="s">
        <v>44</v>
      </c>
      <c r="K303" s="2">
        <v>7</v>
      </c>
      <c r="L303" s="2">
        <v>906.46</v>
      </c>
      <c r="M303" s="2">
        <v>0</v>
      </c>
      <c r="N303" s="2" t="s">
        <v>30</v>
      </c>
      <c r="O303">
        <f t="shared" si="4"/>
        <v>6345.22</v>
      </c>
      <c r="P303">
        <f>O303-(O303*M303/100)</f>
        <v>6345.22</v>
      </c>
    </row>
    <row r="304" spans="5:16" x14ac:dyDescent="0.25">
      <c r="E304" s="2">
        <v>10302</v>
      </c>
      <c r="F304" s="8">
        <v>45810</v>
      </c>
      <c r="G304" s="2" t="s">
        <v>24</v>
      </c>
      <c r="H304" s="2" t="s">
        <v>47</v>
      </c>
      <c r="I304" s="2" t="s">
        <v>34</v>
      </c>
      <c r="J304" s="2" t="s">
        <v>35</v>
      </c>
      <c r="K304" s="2">
        <v>6</v>
      </c>
      <c r="L304" s="2">
        <v>418.4</v>
      </c>
      <c r="M304" s="2">
        <v>10</v>
      </c>
      <c r="N304" s="2" t="s">
        <v>19</v>
      </c>
      <c r="O304">
        <f t="shared" si="4"/>
        <v>2510.3999999999996</v>
      </c>
      <c r="P304">
        <f>O304-(O304*M304/100)</f>
        <v>2259.3599999999997</v>
      </c>
    </row>
    <row r="305" spans="5:16" x14ac:dyDescent="0.25">
      <c r="E305" s="2">
        <v>10303</v>
      </c>
      <c r="F305" s="8">
        <v>45770</v>
      </c>
      <c r="G305" s="2" t="s">
        <v>24</v>
      </c>
      <c r="H305" s="2" t="s">
        <v>25</v>
      </c>
      <c r="I305" s="2" t="s">
        <v>34</v>
      </c>
      <c r="J305" s="2" t="s">
        <v>50</v>
      </c>
      <c r="K305" s="2">
        <v>9</v>
      </c>
      <c r="L305" s="2">
        <v>1514.37</v>
      </c>
      <c r="M305" s="2">
        <v>5</v>
      </c>
      <c r="N305" s="2" t="s">
        <v>19</v>
      </c>
      <c r="O305">
        <f t="shared" si="4"/>
        <v>13629.329999999998</v>
      </c>
      <c r="P305">
        <f>O305-(O305*M305/100)</f>
        <v>12947.863499999998</v>
      </c>
    </row>
    <row r="306" spans="5:16" x14ac:dyDescent="0.25">
      <c r="E306" s="2">
        <v>10304</v>
      </c>
      <c r="F306" s="8">
        <v>45984</v>
      </c>
      <c r="G306" s="2" t="s">
        <v>39</v>
      </c>
      <c r="H306" s="2" t="s">
        <v>52</v>
      </c>
      <c r="I306" s="2" t="s">
        <v>34</v>
      </c>
      <c r="J306" s="2" t="s">
        <v>50</v>
      </c>
      <c r="K306" s="2">
        <v>9</v>
      </c>
      <c r="L306" s="2">
        <v>1083.8499999999999</v>
      </c>
      <c r="M306" s="2">
        <v>10</v>
      </c>
      <c r="N306" s="2" t="s">
        <v>23</v>
      </c>
      <c r="O306">
        <f t="shared" si="4"/>
        <v>9754.65</v>
      </c>
      <c r="P306">
        <f>O306-(O306*M306/100)</f>
        <v>8779.1849999999995</v>
      </c>
    </row>
    <row r="307" spans="5:16" x14ac:dyDescent="0.25">
      <c r="E307" s="2">
        <v>10305</v>
      </c>
      <c r="F307" s="8">
        <v>45699</v>
      </c>
      <c r="G307" s="2" t="s">
        <v>39</v>
      </c>
      <c r="H307" s="2" t="s">
        <v>45</v>
      </c>
      <c r="I307" s="2" t="s">
        <v>40</v>
      </c>
      <c r="J307" s="2" t="s">
        <v>41</v>
      </c>
      <c r="K307" s="2">
        <v>4</v>
      </c>
      <c r="L307" s="2">
        <v>946.72</v>
      </c>
      <c r="M307" s="2">
        <v>5</v>
      </c>
      <c r="N307" s="2" t="s">
        <v>19</v>
      </c>
      <c r="O307">
        <f t="shared" si="4"/>
        <v>3786.88</v>
      </c>
      <c r="P307">
        <f>O307-(O307*M307/100)</f>
        <v>3597.5360000000001</v>
      </c>
    </row>
    <row r="308" spans="5:16" x14ac:dyDescent="0.25">
      <c r="E308" s="2">
        <v>10306</v>
      </c>
      <c r="F308" s="8">
        <v>45961</v>
      </c>
      <c r="G308" s="2" t="s">
        <v>48</v>
      </c>
      <c r="H308" s="2" t="s">
        <v>21</v>
      </c>
      <c r="I308" s="2" t="s">
        <v>17</v>
      </c>
      <c r="J308" s="2" t="s">
        <v>28</v>
      </c>
      <c r="K308" s="2">
        <v>16</v>
      </c>
      <c r="L308" s="2">
        <v>3498.28</v>
      </c>
      <c r="M308" s="2">
        <v>15</v>
      </c>
      <c r="N308" s="2" t="s">
        <v>14</v>
      </c>
      <c r="O308">
        <f t="shared" si="4"/>
        <v>55972.480000000003</v>
      </c>
      <c r="P308">
        <f>O308-(O308*M308/100)</f>
        <v>47576.608</v>
      </c>
    </row>
    <row r="309" spans="5:16" x14ac:dyDescent="0.25">
      <c r="E309" s="2">
        <v>10307</v>
      </c>
      <c r="F309" s="8">
        <v>45814</v>
      </c>
      <c r="G309" s="2" t="s">
        <v>43</v>
      </c>
      <c r="H309" s="2" t="s">
        <v>16</v>
      </c>
      <c r="I309" s="2" t="s">
        <v>40</v>
      </c>
      <c r="J309" s="2" t="s">
        <v>46</v>
      </c>
      <c r="K309" s="2">
        <v>20</v>
      </c>
      <c r="L309" s="2">
        <v>3959.08</v>
      </c>
      <c r="M309" s="2">
        <v>5</v>
      </c>
      <c r="N309" s="2" t="s">
        <v>23</v>
      </c>
      <c r="O309">
        <f t="shared" si="4"/>
        <v>79181.600000000006</v>
      </c>
      <c r="P309">
        <f>O309-(O309*M309/100)</f>
        <v>75222.52</v>
      </c>
    </row>
    <row r="310" spans="5:16" x14ac:dyDescent="0.25">
      <c r="E310" s="2">
        <v>10308</v>
      </c>
      <c r="F310" s="8">
        <v>45800</v>
      </c>
      <c r="G310" s="2" t="s">
        <v>42</v>
      </c>
      <c r="H310" s="2" t="s">
        <v>37</v>
      </c>
      <c r="I310" s="2" t="s">
        <v>34</v>
      </c>
      <c r="J310" s="2" t="s">
        <v>38</v>
      </c>
      <c r="K310" s="2">
        <v>10</v>
      </c>
      <c r="L310" s="2">
        <v>1470.32</v>
      </c>
      <c r="M310" s="2">
        <v>0</v>
      </c>
      <c r="N310" s="2" t="s">
        <v>23</v>
      </c>
      <c r="O310">
        <f t="shared" si="4"/>
        <v>14703.199999999999</v>
      </c>
      <c r="P310">
        <f>O310-(O310*M310/100)</f>
        <v>14703.199999999999</v>
      </c>
    </row>
    <row r="311" spans="5:16" x14ac:dyDescent="0.25">
      <c r="E311" s="2">
        <v>10309</v>
      </c>
      <c r="F311" s="8">
        <v>46018</v>
      </c>
      <c r="G311" s="2" t="s">
        <v>54</v>
      </c>
      <c r="H311" s="2" t="s">
        <v>29</v>
      </c>
      <c r="I311" s="2" t="s">
        <v>40</v>
      </c>
      <c r="J311" s="2" t="s">
        <v>46</v>
      </c>
      <c r="K311" s="2">
        <v>9</v>
      </c>
      <c r="L311" s="2">
        <v>3534.72</v>
      </c>
      <c r="M311" s="2">
        <v>20</v>
      </c>
      <c r="N311" s="2" t="s">
        <v>23</v>
      </c>
      <c r="O311">
        <f t="shared" si="4"/>
        <v>31812.48</v>
      </c>
      <c r="P311">
        <f>O311-(O311*M311/100)</f>
        <v>25449.984</v>
      </c>
    </row>
    <row r="312" spans="5:16" x14ac:dyDescent="0.25">
      <c r="E312" s="2">
        <v>10310</v>
      </c>
      <c r="F312" s="8">
        <v>45869</v>
      </c>
      <c r="G312" s="2" t="s">
        <v>31</v>
      </c>
      <c r="H312" s="2" t="s">
        <v>51</v>
      </c>
      <c r="I312" s="2" t="s">
        <v>34</v>
      </c>
      <c r="J312" s="2" t="s">
        <v>44</v>
      </c>
      <c r="K312" s="2">
        <v>4</v>
      </c>
      <c r="L312" s="2">
        <v>3588.82</v>
      </c>
      <c r="M312" s="2">
        <v>10</v>
      </c>
      <c r="N312" s="2" t="s">
        <v>14</v>
      </c>
      <c r="O312">
        <f t="shared" si="4"/>
        <v>14355.28</v>
      </c>
      <c r="P312">
        <f>O312-(O312*M312/100)</f>
        <v>12919.752</v>
      </c>
    </row>
    <row r="313" spans="5:16" x14ac:dyDescent="0.25">
      <c r="E313" s="2">
        <v>10311</v>
      </c>
      <c r="F313" s="8">
        <v>45927</v>
      </c>
      <c r="G313" s="2" t="s">
        <v>24</v>
      </c>
      <c r="H313" s="2" t="s">
        <v>25</v>
      </c>
      <c r="I313" s="2" t="s">
        <v>12</v>
      </c>
      <c r="J313" s="2" t="s">
        <v>56</v>
      </c>
      <c r="K313" s="2">
        <v>9</v>
      </c>
      <c r="L313" s="2">
        <v>288.36</v>
      </c>
      <c r="M313" s="2">
        <v>15</v>
      </c>
      <c r="N313" s="2" t="s">
        <v>14</v>
      </c>
      <c r="O313">
        <f t="shared" si="4"/>
        <v>2595.2400000000002</v>
      </c>
      <c r="P313">
        <f>O313-(O313*M313/100)</f>
        <v>2205.9540000000002</v>
      </c>
    </row>
    <row r="314" spans="5:16" x14ac:dyDescent="0.25">
      <c r="E314" s="2">
        <v>10312</v>
      </c>
      <c r="F314" s="8">
        <v>45865</v>
      </c>
      <c r="G314" s="2" t="s">
        <v>39</v>
      </c>
      <c r="H314" s="2" t="s">
        <v>45</v>
      </c>
      <c r="I314" s="2" t="s">
        <v>34</v>
      </c>
      <c r="J314" s="2" t="s">
        <v>35</v>
      </c>
      <c r="K314" s="2">
        <v>17</v>
      </c>
      <c r="L314" s="2">
        <v>619.54999999999995</v>
      </c>
      <c r="M314" s="2">
        <v>0</v>
      </c>
      <c r="N314" s="2" t="s">
        <v>30</v>
      </c>
      <c r="O314">
        <f t="shared" si="4"/>
        <v>10532.349999999999</v>
      </c>
      <c r="P314">
        <f>O314-(O314*M314/100)</f>
        <v>10532.349999999999</v>
      </c>
    </row>
    <row r="315" spans="5:16" x14ac:dyDescent="0.25">
      <c r="E315" s="2">
        <v>10313</v>
      </c>
      <c r="F315" s="8">
        <v>45813</v>
      </c>
      <c r="G315" s="2" t="s">
        <v>42</v>
      </c>
      <c r="H315" s="2" t="s">
        <v>47</v>
      </c>
      <c r="I315" s="2" t="s">
        <v>17</v>
      </c>
      <c r="J315" s="2" t="s">
        <v>36</v>
      </c>
      <c r="K315" s="2">
        <v>5</v>
      </c>
      <c r="L315" s="2">
        <v>901.16</v>
      </c>
      <c r="M315" s="2">
        <v>0</v>
      </c>
      <c r="N315" s="2" t="s">
        <v>14</v>
      </c>
      <c r="O315">
        <f t="shared" si="4"/>
        <v>4505.8</v>
      </c>
      <c r="P315">
        <f>O315-(O315*M315/100)</f>
        <v>4505.8</v>
      </c>
    </row>
    <row r="316" spans="5:16" x14ac:dyDescent="0.25">
      <c r="E316" s="2">
        <v>10314</v>
      </c>
      <c r="F316" s="8">
        <v>45739</v>
      </c>
      <c r="G316" s="2" t="s">
        <v>39</v>
      </c>
      <c r="H316" s="2" t="s">
        <v>37</v>
      </c>
      <c r="I316" s="2" t="s">
        <v>17</v>
      </c>
      <c r="J316" s="2" t="s">
        <v>18</v>
      </c>
      <c r="K316" s="2">
        <v>9</v>
      </c>
      <c r="L316" s="2">
        <v>354.58</v>
      </c>
      <c r="M316" s="2">
        <v>5</v>
      </c>
      <c r="N316" s="2" t="s">
        <v>30</v>
      </c>
      <c r="O316">
        <f t="shared" si="4"/>
        <v>3191.22</v>
      </c>
      <c r="P316">
        <f>O316-(O316*M316/100)</f>
        <v>3031.6589999999997</v>
      </c>
    </row>
    <row r="317" spans="5:16" x14ac:dyDescent="0.25">
      <c r="E317" s="2">
        <v>10315</v>
      </c>
      <c r="F317" s="8">
        <v>45705</v>
      </c>
      <c r="G317" s="2" t="s">
        <v>15</v>
      </c>
      <c r="H317" s="2" t="s">
        <v>21</v>
      </c>
      <c r="I317" s="2" t="s">
        <v>40</v>
      </c>
      <c r="J317" s="2" t="s">
        <v>53</v>
      </c>
      <c r="K317" s="2">
        <v>18</v>
      </c>
      <c r="L317" s="2">
        <v>2887.53</v>
      </c>
      <c r="M317" s="2">
        <v>20</v>
      </c>
      <c r="N317" s="2" t="s">
        <v>19</v>
      </c>
      <c r="O317">
        <f t="shared" si="4"/>
        <v>51975.54</v>
      </c>
      <c r="P317">
        <f>O317-(O317*M317/100)</f>
        <v>41580.432000000001</v>
      </c>
    </row>
    <row r="318" spans="5:16" x14ac:dyDescent="0.25">
      <c r="E318" s="2">
        <v>10316</v>
      </c>
      <c r="F318" s="8">
        <v>45697</v>
      </c>
      <c r="G318" s="2" t="s">
        <v>15</v>
      </c>
      <c r="H318" s="2" t="s">
        <v>25</v>
      </c>
      <c r="I318" s="2" t="s">
        <v>34</v>
      </c>
      <c r="J318" s="2" t="s">
        <v>50</v>
      </c>
      <c r="K318" s="2">
        <v>15</v>
      </c>
      <c r="L318" s="2">
        <v>372.09</v>
      </c>
      <c r="M318" s="2">
        <v>5</v>
      </c>
      <c r="N318" s="2" t="s">
        <v>30</v>
      </c>
      <c r="O318">
        <f t="shared" si="4"/>
        <v>5581.3499999999995</v>
      </c>
      <c r="P318">
        <f>O318-(O318*M318/100)</f>
        <v>5302.2824999999993</v>
      </c>
    </row>
    <row r="319" spans="5:16" x14ac:dyDescent="0.25">
      <c r="E319" s="2">
        <v>10317</v>
      </c>
      <c r="F319" s="8">
        <v>45742</v>
      </c>
      <c r="G319" s="2" t="s">
        <v>48</v>
      </c>
      <c r="H319" s="2" t="s">
        <v>16</v>
      </c>
      <c r="I319" s="2" t="s">
        <v>34</v>
      </c>
      <c r="J319" s="2" t="s">
        <v>38</v>
      </c>
      <c r="K319" s="2">
        <v>17</v>
      </c>
      <c r="L319" s="2">
        <v>3988.47</v>
      </c>
      <c r="M319" s="2">
        <v>5</v>
      </c>
      <c r="N319" s="2" t="s">
        <v>30</v>
      </c>
      <c r="O319">
        <f t="shared" si="4"/>
        <v>67803.989999999991</v>
      </c>
      <c r="P319">
        <f>O319-(O319*M319/100)</f>
        <v>64413.790499999988</v>
      </c>
    </row>
    <row r="320" spans="5:16" x14ac:dyDescent="0.25">
      <c r="E320" s="2">
        <v>10318</v>
      </c>
      <c r="F320" s="8">
        <v>45799</v>
      </c>
      <c r="G320" s="2" t="s">
        <v>27</v>
      </c>
      <c r="H320" s="2" t="s">
        <v>25</v>
      </c>
      <c r="I320" s="2" t="s">
        <v>40</v>
      </c>
      <c r="J320" s="2" t="s">
        <v>46</v>
      </c>
      <c r="K320" s="2">
        <v>20</v>
      </c>
      <c r="L320" s="2">
        <v>1601.62</v>
      </c>
      <c r="M320" s="2">
        <v>20</v>
      </c>
      <c r="N320" s="2" t="s">
        <v>19</v>
      </c>
      <c r="O320">
        <f t="shared" si="4"/>
        <v>32032.399999999998</v>
      </c>
      <c r="P320">
        <f>O320-(O320*M320/100)</f>
        <v>25625.919999999998</v>
      </c>
    </row>
    <row r="321" spans="5:16" x14ac:dyDescent="0.25">
      <c r="E321" s="2">
        <v>10319</v>
      </c>
      <c r="F321" s="8">
        <v>45682</v>
      </c>
      <c r="G321" s="2" t="s">
        <v>43</v>
      </c>
      <c r="H321" s="2" t="s">
        <v>21</v>
      </c>
      <c r="I321" s="2" t="s">
        <v>40</v>
      </c>
      <c r="J321" s="2" t="s">
        <v>41</v>
      </c>
      <c r="K321" s="2">
        <v>1</v>
      </c>
      <c r="L321" s="2">
        <v>1195.22</v>
      </c>
      <c r="M321" s="2">
        <v>5</v>
      </c>
      <c r="N321" s="2" t="s">
        <v>30</v>
      </c>
      <c r="O321">
        <f t="shared" si="4"/>
        <v>1195.22</v>
      </c>
      <c r="P321">
        <f>O321-(O321*M321/100)</f>
        <v>1135.4590000000001</v>
      </c>
    </row>
    <row r="322" spans="5:16" x14ac:dyDescent="0.25">
      <c r="E322" s="2">
        <v>10320</v>
      </c>
      <c r="F322" s="8">
        <v>46008</v>
      </c>
      <c r="G322" s="2" t="s">
        <v>31</v>
      </c>
      <c r="H322" s="2" t="s">
        <v>51</v>
      </c>
      <c r="I322" s="2" t="s">
        <v>17</v>
      </c>
      <c r="J322" s="2" t="s">
        <v>28</v>
      </c>
      <c r="K322" s="2">
        <v>6</v>
      </c>
      <c r="L322" s="2">
        <v>1315.08</v>
      </c>
      <c r="M322" s="2">
        <v>0</v>
      </c>
      <c r="N322" s="2" t="s">
        <v>23</v>
      </c>
      <c r="O322">
        <f t="shared" si="4"/>
        <v>7890.48</v>
      </c>
      <c r="P322">
        <f>O322-(O322*M322/100)</f>
        <v>7890.48</v>
      </c>
    </row>
    <row r="323" spans="5:16" x14ac:dyDescent="0.25">
      <c r="E323" s="2">
        <v>10321</v>
      </c>
      <c r="F323" s="8">
        <v>45857</v>
      </c>
      <c r="G323" s="2" t="s">
        <v>32</v>
      </c>
      <c r="H323" s="2" t="s">
        <v>51</v>
      </c>
      <c r="I323" s="2" t="s">
        <v>40</v>
      </c>
      <c r="J323" s="2" t="s">
        <v>53</v>
      </c>
      <c r="K323" s="2">
        <v>5</v>
      </c>
      <c r="L323" s="2">
        <v>996.81</v>
      </c>
      <c r="M323" s="2">
        <v>0</v>
      </c>
      <c r="N323" s="2" t="s">
        <v>14</v>
      </c>
      <c r="O323">
        <f t="shared" si="4"/>
        <v>4984.0499999999993</v>
      </c>
      <c r="P323">
        <f>O323-(O323*M323/100)</f>
        <v>4984.0499999999993</v>
      </c>
    </row>
    <row r="324" spans="5:16" x14ac:dyDescent="0.25">
      <c r="E324" s="2">
        <v>10322</v>
      </c>
      <c r="F324" s="8">
        <v>45872</v>
      </c>
      <c r="G324" s="2" t="s">
        <v>43</v>
      </c>
      <c r="H324" s="2" t="s">
        <v>25</v>
      </c>
      <c r="I324" s="2" t="s">
        <v>17</v>
      </c>
      <c r="J324" s="2" t="s">
        <v>55</v>
      </c>
      <c r="K324" s="2">
        <v>11</v>
      </c>
      <c r="L324" s="2">
        <v>4411.74</v>
      </c>
      <c r="M324" s="2">
        <v>10</v>
      </c>
      <c r="N324" s="2" t="s">
        <v>14</v>
      </c>
      <c r="O324">
        <f t="shared" ref="O324:O387" si="5">K324*L324</f>
        <v>48529.14</v>
      </c>
      <c r="P324">
        <f>O324-(O324*M324/100)</f>
        <v>43676.225999999995</v>
      </c>
    </row>
    <row r="325" spans="5:16" x14ac:dyDescent="0.25">
      <c r="E325" s="2">
        <v>10323</v>
      </c>
      <c r="F325" s="8">
        <v>45873</v>
      </c>
      <c r="G325" s="2" t="s">
        <v>32</v>
      </c>
      <c r="H325" s="2" t="s">
        <v>47</v>
      </c>
      <c r="I325" s="2" t="s">
        <v>12</v>
      </c>
      <c r="J325" s="2" t="s">
        <v>56</v>
      </c>
      <c r="K325" s="2">
        <v>14</v>
      </c>
      <c r="L325" s="2">
        <v>53.45</v>
      </c>
      <c r="M325" s="2">
        <v>5</v>
      </c>
      <c r="N325" s="2" t="s">
        <v>30</v>
      </c>
      <c r="O325">
        <f t="shared" si="5"/>
        <v>748.30000000000007</v>
      </c>
      <c r="P325">
        <f>O325-(O325*M325/100)</f>
        <v>710.8850000000001</v>
      </c>
    </row>
    <row r="326" spans="5:16" x14ac:dyDescent="0.25">
      <c r="E326" s="2">
        <v>10324</v>
      </c>
      <c r="F326" s="8">
        <v>45716</v>
      </c>
      <c r="G326" s="2" t="s">
        <v>31</v>
      </c>
      <c r="H326" s="2" t="s">
        <v>16</v>
      </c>
      <c r="I326" s="2" t="s">
        <v>34</v>
      </c>
      <c r="J326" s="2" t="s">
        <v>50</v>
      </c>
      <c r="K326" s="2">
        <v>18</v>
      </c>
      <c r="L326" s="2">
        <v>3546.07</v>
      </c>
      <c r="M326" s="2">
        <v>15</v>
      </c>
      <c r="N326" s="2" t="s">
        <v>19</v>
      </c>
      <c r="O326">
        <f t="shared" si="5"/>
        <v>63829.26</v>
      </c>
      <c r="P326">
        <f>O326-(O326*M326/100)</f>
        <v>54254.870999999999</v>
      </c>
    </row>
    <row r="327" spans="5:16" x14ac:dyDescent="0.25">
      <c r="E327" s="2">
        <v>10325</v>
      </c>
      <c r="F327" s="8">
        <v>45890</v>
      </c>
      <c r="G327" s="2" t="s">
        <v>27</v>
      </c>
      <c r="H327" s="2" t="s">
        <v>21</v>
      </c>
      <c r="I327" s="2" t="s">
        <v>12</v>
      </c>
      <c r="J327" s="2" t="s">
        <v>33</v>
      </c>
      <c r="K327" s="2">
        <v>8</v>
      </c>
      <c r="L327" s="2">
        <v>3024.55</v>
      </c>
      <c r="M327" s="2">
        <v>15</v>
      </c>
      <c r="N327" s="2" t="s">
        <v>23</v>
      </c>
      <c r="O327">
        <f t="shared" si="5"/>
        <v>24196.400000000001</v>
      </c>
      <c r="P327">
        <f>O327-(O327*M327/100)</f>
        <v>20566.940000000002</v>
      </c>
    </row>
    <row r="328" spans="5:16" x14ac:dyDescent="0.25">
      <c r="E328" s="2">
        <v>10326</v>
      </c>
      <c r="F328" s="8">
        <v>45703</v>
      </c>
      <c r="G328" s="2" t="s">
        <v>27</v>
      </c>
      <c r="H328" s="2" t="s">
        <v>37</v>
      </c>
      <c r="I328" s="2" t="s">
        <v>17</v>
      </c>
      <c r="J328" s="2" t="s">
        <v>28</v>
      </c>
      <c r="K328" s="2">
        <v>14</v>
      </c>
      <c r="L328" s="2">
        <v>2971.55</v>
      </c>
      <c r="M328" s="2">
        <v>20</v>
      </c>
      <c r="N328" s="2" t="s">
        <v>14</v>
      </c>
      <c r="O328">
        <f t="shared" si="5"/>
        <v>41601.700000000004</v>
      </c>
      <c r="P328">
        <f>O328-(O328*M328/100)</f>
        <v>33281.360000000001</v>
      </c>
    </row>
    <row r="329" spans="5:16" x14ac:dyDescent="0.25">
      <c r="E329" s="2">
        <v>10327</v>
      </c>
      <c r="F329" s="8">
        <v>45843</v>
      </c>
      <c r="G329" s="2" t="s">
        <v>31</v>
      </c>
      <c r="H329" s="2" t="s">
        <v>21</v>
      </c>
      <c r="I329" s="2" t="s">
        <v>12</v>
      </c>
      <c r="J329" s="2" t="s">
        <v>33</v>
      </c>
      <c r="K329" s="2">
        <v>15</v>
      </c>
      <c r="L329" s="2">
        <v>2384.77</v>
      </c>
      <c r="M329" s="2">
        <v>20</v>
      </c>
      <c r="N329" s="2" t="s">
        <v>30</v>
      </c>
      <c r="O329">
        <f t="shared" si="5"/>
        <v>35771.550000000003</v>
      </c>
      <c r="P329">
        <f>O329-(O329*M329/100)</f>
        <v>28617.24</v>
      </c>
    </row>
    <row r="330" spans="5:16" x14ac:dyDescent="0.25">
      <c r="E330" s="2">
        <v>10328</v>
      </c>
      <c r="F330" s="8">
        <v>45963</v>
      </c>
      <c r="G330" s="2" t="s">
        <v>32</v>
      </c>
      <c r="H330" s="2" t="s">
        <v>37</v>
      </c>
      <c r="I330" s="2" t="s">
        <v>17</v>
      </c>
      <c r="J330" s="2" t="s">
        <v>18</v>
      </c>
      <c r="K330" s="2">
        <v>4</v>
      </c>
      <c r="L330" s="2">
        <v>3719.94</v>
      </c>
      <c r="M330" s="2">
        <v>15</v>
      </c>
      <c r="N330" s="2" t="s">
        <v>30</v>
      </c>
      <c r="O330">
        <f t="shared" si="5"/>
        <v>14879.76</v>
      </c>
      <c r="P330">
        <f>O330-(O330*M330/100)</f>
        <v>12647.796</v>
      </c>
    </row>
    <row r="331" spans="5:16" x14ac:dyDescent="0.25">
      <c r="E331" s="2">
        <v>10329</v>
      </c>
      <c r="F331" s="8">
        <v>45788</v>
      </c>
      <c r="G331" s="2" t="s">
        <v>24</v>
      </c>
      <c r="H331" s="2" t="s">
        <v>47</v>
      </c>
      <c r="I331" s="2" t="s">
        <v>12</v>
      </c>
      <c r="J331" s="2" t="s">
        <v>56</v>
      </c>
      <c r="K331" s="2">
        <v>6</v>
      </c>
      <c r="L331" s="2">
        <v>906.24</v>
      </c>
      <c r="M331" s="2">
        <v>5</v>
      </c>
      <c r="N331" s="2" t="s">
        <v>14</v>
      </c>
      <c r="O331">
        <f t="shared" si="5"/>
        <v>5437.4400000000005</v>
      </c>
      <c r="P331">
        <f>O331-(O331*M331/100)</f>
        <v>5165.5680000000002</v>
      </c>
    </row>
    <row r="332" spans="5:16" x14ac:dyDescent="0.25">
      <c r="E332" s="2">
        <v>10330</v>
      </c>
      <c r="F332" s="8">
        <v>45869</v>
      </c>
      <c r="G332" s="2" t="s">
        <v>10</v>
      </c>
      <c r="H332" s="2" t="s">
        <v>16</v>
      </c>
      <c r="I332" s="2" t="s">
        <v>40</v>
      </c>
      <c r="J332" s="2" t="s">
        <v>41</v>
      </c>
      <c r="K332" s="2">
        <v>18</v>
      </c>
      <c r="L332" s="2">
        <v>3544.36</v>
      </c>
      <c r="M332" s="2">
        <v>15</v>
      </c>
      <c r="N332" s="2" t="s">
        <v>19</v>
      </c>
      <c r="O332">
        <f t="shared" si="5"/>
        <v>63798.48</v>
      </c>
      <c r="P332">
        <f>O332-(O332*M332/100)</f>
        <v>54228.707999999999</v>
      </c>
    </row>
    <row r="333" spans="5:16" x14ac:dyDescent="0.25">
      <c r="E333" s="2">
        <v>10331</v>
      </c>
      <c r="F333" s="8">
        <v>45773</v>
      </c>
      <c r="G333" s="2" t="s">
        <v>54</v>
      </c>
      <c r="H333" s="2" t="s">
        <v>52</v>
      </c>
      <c r="I333" s="2" t="s">
        <v>40</v>
      </c>
      <c r="J333" s="2" t="s">
        <v>53</v>
      </c>
      <c r="K333" s="2">
        <v>20</v>
      </c>
      <c r="L333" s="2">
        <v>3881.42</v>
      </c>
      <c r="M333" s="2">
        <v>20</v>
      </c>
      <c r="N333" s="2" t="s">
        <v>26</v>
      </c>
      <c r="O333">
        <f t="shared" si="5"/>
        <v>77628.399999999994</v>
      </c>
      <c r="P333">
        <f>O333-(O333*M333/100)</f>
        <v>62102.719999999994</v>
      </c>
    </row>
    <row r="334" spans="5:16" x14ac:dyDescent="0.25">
      <c r="E334" s="2">
        <v>10332</v>
      </c>
      <c r="F334" s="8">
        <v>45930</v>
      </c>
      <c r="G334" s="2" t="s">
        <v>32</v>
      </c>
      <c r="H334" s="2" t="s">
        <v>45</v>
      </c>
      <c r="I334" s="2" t="s">
        <v>40</v>
      </c>
      <c r="J334" s="2" t="s">
        <v>49</v>
      </c>
      <c r="K334" s="2">
        <v>10</v>
      </c>
      <c r="L334" s="2">
        <v>3041.48</v>
      </c>
      <c r="M334" s="2">
        <v>10</v>
      </c>
      <c r="N334" s="2" t="s">
        <v>26</v>
      </c>
      <c r="O334">
        <f t="shared" si="5"/>
        <v>30414.799999999999</v>
      </c>
      <c r="P334">
        <f>O334-(O334*M334/100)</f>
        <v>27373.32</v>
      </c>
    </row>
    <row r="335" spans="5:16" x14ac:dyDescent="0.25">
      <c r="E335" s="2">
        <v>10333</v>
      </c>
      <c r="F335" s="8">
        <v>45717</v>
      </c>
      <c r="G335" s="2" t="s">
        <v>15</v>
      </c>
      <c r="H335" s="2" t="s">
        <v>11</v>
      </c>
      <c r="I335" s="2" t="s">
        <v>17</v>
      </c>
      <c r="J335" s="2" t="s">
        <v>18</v>
      </c>
      <c r="K335" s="2">
        <v>11</v>
      </c>
      <c r="L335" s="2">
        <v>2298.02</v>
      </c>
      <c r="M335" s="2">
        <v>5</v>
      </c>
      <c r="N335" s="2" t="s">
        <v>19</v>
      </c>
      <c r="O335">
        <f t="shared" si="5"/>
        <v>25278.22</v>
      </c>
      <c r="P335">
        <f>O335-(O335*M335/100)</f>
        <v>24014.309000000001</v>
      </c>
    </row>
    <row r="336" spans="5:16" x14ac:dyDescent="0.25">
      <c r="E336" s="2">
        <v>10334</v>
      </c>
      <c r="F336" s="8">
        <v>45801</v>
      </c>
      <c r="G336" s="2" t="s">
        <v>48</v>
      </c>
      <c r="H336" s="2" t="s">
        <v>29</v>
      </c>
      <c r="I336" s="2" t="s">
        <v>17</v>
      </c>
      <c r="J336" s="2" t="s">
        <v>18</v>
      </c>
      <c r="K336" s="2">
        <v>15</v>
      </c>
      <c r="L336" s="2">
        <v>4311.97</v>
      </c>
      <c r="M336" s="2">
        <v>15</v>
      </c>
      <c r="N336" s="2" t="s">
        <v>19</v>
      </c>
      <c r="O336">
        <f t="shared" si="5"/>
        <v>64679.55</v>
      </c>
      <c r="P336">
        <f>O336-(O336*M336/100)</f>
        <v>54977.6175</v>
      </c>
    </row>
    <row r="337" spans="5:16" x14ac:dyDescent="0.25">
      <c r="E337" s="2">
        <v>10335</v>
      </c>
      <c r="F337" s="8">
        <v>45760</v>
      </c>
      <c r="G337" s="2" t="s">
        <v>15</v>
      </c>
      <c r="H337" s="2" t="s">
        <v>37</v>
      </c>
      <c r="I337" s="2" t="s">
        <v>40</v>
      </c>
      <c r="J337" s="2" t="s">
        <v>49</v>
      </c>
      <c r="K337" s="2">
        <v>7</v>
      </c>
      <c r="L337" s="2">
        <v>4920.38</v>
      </c>
      <c r="M337" s="2">
        <v>15</v>
      </c>
      <c r="N337" s="2" t="s">
        <v>23</v>
      </c>
      <c r="O337">
        <f t="shared" si="5"/>
        <v>34442.660000000003</v>
      </c>
      <c r="P337">
        <f>O337-(O337*M337/100)</f>
        <v>29276.261000000002</v>
      </c>
    </row>
    <row r="338" spans="5:16" x14ac:dyDescent="0.25">
      <c r="E338" s="2">
        <v>10336</v>
      </c>
      <c r="F338" s="8">
        <v>45678</v>
      </c>
      <c r="G338" s="2" t="s">
        <v>48</v>
      </c>
      <c r="H338" s="2" t="s">
        <v>47</v>
      </c>
      <c r="I338" s="2" t="s">
        <v>17</v>
      </c>
      <c r="J338" s="2" t="s">
        <v>28</v>
      </c>
      <c r="K338" s="2">
        <v>14</v>
      </c>
      <c r="L338" s="2">
        <v>4049.14</v>
      </c>
      <c r="M338" s="2">
        <v>10</v>
      </c>
      <c r="N338" s="2" t="s">
        <v>14</v>
      </c>
      <c r="O338">
        <f t="shared" si="5"/>
        <v>56687.96</v>
      </c>
      <c r="P338">
        <f>O338-(O338*M338/100)</f>
        <v>51019.163999999997</v>
      </c>
    </row>
    <row r="339" spans="5:16" x14ac:dyDescent="0.25">
      <c r="E339" s="2">
        <v>10337</v>
      </c>
      <c r="F339" s="8">
        <v>45767</v>
      </c>
      <c r="G339" s="2" t="s">
        <v>42</v>
      </c>
      <c r="H339" s="2" t="s">
        <v>11</v>
      </c>
      <c r="I339" s="2" t="s">
        <v>34</v>
      </c>
      <c r="J339" s="2" t="s">
        <v>44</v>
      </c>
      <c r="K339" s="2">
        <v>7</v>
      </c>
      <c r="L339" s="2">
        <v>4474.88</v>
      </c>
      <c r="M339" s="2">
        <v>10</v>
      </c>
      <c r="N339" s="2" t="s">
        <v>30</v>
      </c>
      <c r="O339">
        <f t="shared" si="5"/>
        <v>31324.16</v>
      </c>
      <c r="P339">
        <f>O339-(O339*M339/100)</f>
        <v>28191.743999999999</v>
      </c>
    </row>
    <row r="340" spans="5:16" x14ac:dyDescent="0.25">
      <c r="E340" s="2">
        <v>10338</v>
      </c>
      <c r="F340" s="8">
        <v>45774</v>
      </c>
      <c r="G340" s="2" t="s">
        <v>42</v>
      </c>
      <c r="H340" s="2" t="s">
        <v>21</v>
      </c>
      <c r="I340" s="2" t="s">
        <v>12</v>
      </c>
      <c r="J340" s="2" t="s">
        <v>22</v>
      </c>
      <c r="K340" s="2">
        <v>17</v>
      </c>
      <c r="L340" s="2">
        <v>2675.44</v>
      </c>
      <c r="M340" s="2">
        <v>20</v>
      </c>
      <c r="N340" s="2" t="s">
        <v>30</v>
      </c>
      <c r="O340">
        <f t="shared" si="5"/>
        <v>45482.48</v>
      </c>
      <c r="P340">
        <f>O340-(O340*M340/100)</f>
        <v>36385.984000000004</v>
      </c>
    </row>
    <row r="341" spans="5:16" x14ac:dyDescent="0.25">
      <c r="E341" s="2">
        <v>10339</v>
      </c>
      <c r="F341" s="8">
        <v>45862</v>
      </c>
      <c r="G341" s="2" t="s">
        <v>10</v>
      </c>
      <c r="H341" s="2" t="s">
        <v>29</v>
      </c>
      <c r="I341" s="2" t="s">
        <v>34</v>
      </c>
      <c r="J341" s="2" t="s">
        <v>38</v>
      </c>
      <c r="K341" s="2">
        <v>3</v>
      </c>
      <c r="L341" s="2">
        <v>4333.07</v>
      </c>
      <c r="M341" s="2">
        <v>5</v>
      </c>
      <c r="N341" s="2" t="s">
        <v>23</v>
      </c>
      <c r="O341">
        <f t="shared" si="5"/>
        <v>12999.21</v>
      </c>
      <c r="P341">
        <f>O341-(O341*M341/100)</f>
        <v>12349.2495</v>
      </c>
    </row>
    <row r="342" spans="5:16" x14ac:dyDescent="0.25">
      <c r="E342" s="2">
        <v>10340</v>
      </c>
      <c r="F342" s="8">
        <v>46004</v>
      </c>
      <c r="G342" s="2" t="s">
        <v>32</v>
      </c>
      <c r="H342" s="2" t="s">
        <v>21</v>
      </c>
      <c r="I342" s="2" t="s">
        <v>34</v>
      </c>
      <c r="J342" s="2" t="s">
        <v>35</v>
      </c>
      <c r="K342" s="2">
        <v>14</v>
      </c>
      <c r="L342" s="2">
        <v>3144.55</v>
      </c>
      <c r="M342" s="2">
        <v>10</v>
      </c>
      <c r="N342" s="2" t="s">
        <v>14</v>
      </c>
      <c r="O342">
        <f t="shared" si="5"/>
        <v>44023.700000000004</v>
      </c>
      <c r="P342">
        <f>O342-(O342*M342/100)</f>
        <v>39621.33</v>
      </c>
    </row>
    <row r="343" spans="5:16" x14ac:dyDescent="0.25">
      <c r="E343" s="2">
        <v>10341</v>
      </c>
      <c r="F343" s="8">
        <v>45687</v>
      </c>
      <c r="G343" s="2" t="s">
        <v>10</v>
      </c>
      <c r="H343" s="2" t="s">
        <v>11</v>
      </c>
      <c r="I343" s="2" t="s">
        <v>17</v>
      </c>
      <c r="J343" s="2" t="s">
        <v>36</v>
      </c>
      <c r="K343" s="2">
        <v>12</v>
      </c>
      <c r="L343" s="2">
        <v>3812.41</v>
      </c>
      <c r="M343" s="2">
        <v>0</v>
      </c>
      <c r="N343" s="2" t="s">
        <v>23</v>
      </c>
      <c r="O343">
        <f t="shared" si="5"/>
        <v>45748.92</v>
      </c>
      <c r="P343">
        <f>O343-(O343*M343/100)</f>
        <v>45748.92</v>
      </c>
    </row>
    <row r="344" spans="5:16" x14ac:dyDescent="0.25">
      <c r="E344" s="2">
        <v>10342</v>
      </c>
      <c r="F344" s="8">
        <v>45825</v>
      </c>
      <c r="G344" s="2" t="s">
        <v>24</v>
      </c>
      <c r="H344" s="2" t="s">
        <v>52</v>
      </c>
      <c r="I344" s="2" t="s">
        <v>34</v>
      </c>
      <c r="J344" s="2" t="s">
        <v>50</v>
      </c>
      <c r="K344" s="2">
        <v>10</v>
      </c>
      <c r="L344" s="2">
        <v>679.76</v>
      </c>
      <c r="M344" s="2">
        <v>20</v>
      </c>
      <c r="N344" s="2" t="s">
        <v>14</v>
      </c>
      <c r="O344">
        <f t="shared" si="5"/>
        <v>6797.6</v>
      </c>
      <c r="P344">
        <f>O344-(O344*M344/100)</f>
        <v>5438.08</v>
      </c>
    </row>
    <row r="345" spans="5:16" x14ac:dyDescent="0.25">
      <c r="E345" s="2">
        <v>10343</v>
      </c>
      <c r="F345" s="8">
        <v>45974</v>
      </c>
      <c r="G345" s="2" t="s">
        <v>48</v>
      </c>
      <c r="H345" s="2" t="s">
        <v>51</v>
      </c>
      <c r="I345" s="2" t="s">
        <v>12</v>
      </c>
      <c r="J345" s="2" t="s">
        <v>22</v>
      </c>
      <c r="K345" s="2">
        <v>10</v>
      </c>
      <c r="L345" s="2">
        <v>4762.7299999999996</v>
      </c>
      <c r="M345" s="2">
        <v>0</v>
      </c>
      <c r="N345" s="2" t="s">
        <v>14</v>
      </c>
      <c r="O345">
        <f t="shared" si="5"/>
        <v>47627.299999999996</v>
      </c>
      <c r="P345">
        <f>O345-(O345*M345/100)</f>
        <v>47627.299999999996</v>
      </c>
    </row>
    <row r="346" spans="5:16" x14ac:dyDescent="0.25">
      <c r="E346" s="2">
        <v>10344</v>
      </c>
      <c r="F346" s="8">
        <v>45894</v>
      </c>
      <c r="G346" s="2" t="s">
        <v>32</v>
      </c>
      <c r="H346" s="2" t="s">
        <v>47</v>
      </c>
      <c r="I346" s="2" t="s">
        <v>40</v>
      </c>
      <c r="J346" s="2" t="s">
        <v>53</v>
      </c>
      <c r="K346" s="2">
        <v>3</v>
      </c>
      <c r="L346" s="2">
        <v>908.43</v>
      </c>
      <c r="M346" s="2">
        <v>15</v>
      </c>
      <c r="N346" s="2" t="s">
        <v>14</v>
      </c>
      <c r="O346">
        <f t="shared" si="5"/>
        <v>2725.29</v>
      </c>
      <c r="P346">
        <f>O346-(O346*M346/100)</f>
        <v>2316.4965000000002</v>
      </c>
    </row>
    <row r="347" spans="5:16" x14ac:dyDescent="0.25">
      <c r="E347" s="2">
        <v>10345</v>
      </c>
      <c r="F347" s="8">
        <v>45702</v>
      </c>
      <c r="G347" s="2" t="s">
        <v>20</v>
      </c>
      <c r="H347" s="2" t="s">
        <v>45</v>
      </c>
      <c r="I347" s="2" t="s">
        <v>17</v>
      </c>
      <c r="J347" s="2" t="s">
        <v>28</v>
      </c>
      <c r="K347" s="2">
        <v>20</v>
      </c>
      <c r="L347" s="2">
        <v>3140.61</v>
      </c>
      <c r="M347" s="2">
        <v>20</v>
      </c>
      <c r="N347" s="2" t="s">
        <v>26</v>
      </c>
      <c r="O347">
        <f t="shared" si="5"/>
        <v>62812.200000000004</v>
      </c>
      <c r="P347">
        <f>O347-(O347*M347/100)</f>
        <v>50249.760000000002</v>
      </c>
    </row>
    <row r="348" spans="5:16" x14ac:dyDescent="0.25">
      <c r="E348" s="2">
        <v>10346</v>
      </c>
      <c r="F348" s="8">
        <v>45766</v>
      </c>
      <c r="G348" s="2" t="s">
        <v>54</v>
      </c>
      <c r="H348" s="2" t="s">
        <v>21</v>
      </c>
      <c r="I348" s="2" t="s">
        <v>40</v>
      </c>
      <c r="J348" s="2" t="s">
        <v>49</v>
      </c>
      <c r="K348" s="2">
        <v>16</v>
      </c>
      <c r="L348" s="2">
        <v>346.02</v>
      </c>
      <c r="M348" s="2">
        <v>20</v>
      </c>
      <c r="N348" s="2" t="s">
        <v>14</v>
      </c>
      <c r="O348">
        <f t="shared" si="5"/>
        <v>5536.32</v>
      </c>
      <c r="P348">
        <f>O348-(O348*M348/100)</f>
        <v>4429.0559999999996</v>
      </c>
    </row>
    <row r="349" spans="5:16" x14ac:dyDescent="0.25">
      <c r="E349" s="2">
        <v>10347</v>
      </c>
      <c r="F349" s="8">
        <v>45971</v>
      </c>
      <c r="G349" s="2" t="s">
        <v>31</v>
      </c>
      <c r="H349" s="2" t="s">
        <v>47</v>
      </c>
      <c r="I349" s="2" t="s">
        <v>12</v>
      </c>
      <c r="J349" s="2" t="s">
        <v>56</v>
      </c>
      <c r="K349" s="2">
        <v>6</v>
      </c>
      <c r="L349" s="2">
        <v>4153.09</v>
      </c>
      <c r="M349" s="2">
        <v>10</v>
      </c>
      <c r="N349" s="2" t="s">
        <v>14</v>
      </c>
      <c r="O349">
        <f t="shared" si="5"/>
        <v>24918.54</v>
      </c>
      <c r="P349">
        <f>O349-(O349*M349/100)</f>
        <v>22426.686000000002</v>
      </c>
    </row>
    <row r="350" spans="5:16" x14ac:dyDescent="0.25">
      <c r="E350" s="2">
        <v>10348</v>
      </c>
      <c r="F350" s="8">
        <v>45730</v>
      </c>
      <c r="G350" s="2" t="s">
        <v>32</v>
      </c>
      <c r="H350" s="2" t="s">
        <v>21</v>
      </c>
      <c r="I350" s="2" t="s">
        <v>17</v>
      </c>
      <c r="J350" s="2" t="s">
        <v>28</v>
      </c>
      <c r="K350" s="2">
        <v>15</v>
      </c>
      <c r="L350" s="2">
        <v>4991.5600000000004</v>
      </c>
      <c r="M350" s="2">
        <v>15</v>
      </c>
      <c r="N350" s="2" t="s">
        <v>26</v>
      </c>
      <c r="O350">
        <f t="shared" si="5"/>
        <v>74873.400000000009</v>
      </c>
      <c r="P350">
        <f>O350-(O350*M350/100)</f>
        <v>63642.390000000007</v>
      </c>
    </row>
    <row r="351" spans="5:16" x14ac:dyDescent="0.25">
      <c r="E351" s="2">
        <v>10349</v>
      </c>
      <c r="F351" s="8">
        <v>45830</v>
      </c>
      <c r="G351" s="2" t="s">
        <v>10</v>
      </c>
      <c r="H351" s="2" t="s">
        <v>47</v>
      </c>
      <c r="I351" s="2" t="s">
        <v>12</v>
      </c>
      <c r="J351" s="2" t="s">
        <v>13</v>
      </c>
      <c r="K351" s="2">
        <v>19</v>
      </c>
      <c r="L351" s="2">
        <v>4103.16</v>
      </c>
      <c r="M351" s="2">
        <v>10</v>
      </c>
      <c r="N351" s="2" t="s">
        <v>23</v>
      </c>
      <c r="O351">
        <f t="shared" si="5"/>
        <v>77960.039999999994</v>
      </c>
      <c r="P351">
        <f>O351-(O351*M351/100)</f>
        <v>70164.035999999993</v>
      </c>
    </row>
    <row r="352" spans="5:16" x14ac:dyDescent="0.25">
      <c r="E352" s="2">
        <v>10350</v>
      </c>
      <c r="F352" s="8">
        <v>45968</v>
      </c>
      <c r="G352" s="2" t="s">
        <v>20</v>
      </c>
      <c r="H352" s="2" t="s">
        <v>47</v>
      </c>
      <c r="I352" s="2" t="s">
        <v>40</v>
      </c>
      <c r="J352" s="2" t="s">
        <v>41</v>
      </c>
      <c r="K352" s="2">
        <v>6</v>
      </c>
      <c r="L352" s="2">
        <v>1384.2</v>
      </c>
      <c r="M352" s="2">
        <v>20</v>
      </c>
      <c r="N352" s="2" t="s">
        <v>26</v>
      </c>
      <c r="O352">
        <f t="shared" si="5"/>
        <v>8305.2000000000007</v>
      </c>
      <c r="P352">
        <f>O352-(O352*M352/100)</f>
        <v>6644.1600000000008</v>
      </c>
    </row>
    <row r="353" spans="5:16" x14ac:dyDescent="0.25">
      <c r="E353" s="2">
        <v>10351</v>
      </c>
      <c r="F353" s="8">
        <v>45928</v>
      </c>
      <c r="G353" s="2" t="s">
        <v>31</v>
      </c>
      <c r="H353" s="2" t="s">
        <v>37</v>
      </c>
      <c r="I353" s="2" t="s">
        <v>34</v>
      </c>
      <c r="J353" s="2" t="s">
        <v>50</v>
      </c>
      <c r="K353" s="2">
        <v>7</v>
      </c>
      <c r="L353" s="2">
        <v>315.95</v>
      </c>
      <c r="M353" s="2">
        <v>5</v>
      </c>
      <c r="N353" s="2" t="s">
        <v>14</v>
      </c>
      <c r="O353">
        <f t="shared" si="5"/>
        <v>2211.65</v>
      </c>
      <c r="P353">
        <f>O353-(O353*M353/100)</f>
        <v>2101.0675000000001</v>
      </c>
    </row>
    <row r="354" spans="5:16" x14ac:dyDescent="0.25">
      <c r="E354" s="2">
        <v>10352</v>
      </c>
      <c r="F354" s="8">
        <v>45720</v>
      </c>
      <c r="G354" s="2" t="s">
        <v>32</v>
      </c>
      <c r="H354" s="2" t="s">
        <v>21</v>
      </c>
      <c r="I354" s="2" t="s">
        <v>12</v>
      </c>
      <c r="J354" s="2" t="s">
        <v>56</v>
      </c>
      <c r="K354" s="2">
        <v>3</v>
      </c>
      <c r="L354" s="2">
        <v>142.71</v>
      </c>
      <c r="M354" s="2">
        <v>15</v>
      </c>
      <c r="N354" s="2" t="s">
        <v>30</v>
      </c>
      <c r="O354">
        <f t="shared" si="5"/>
        <v>428.13</v>
      </c>
      <c r="P354">
        <f>O354-(O354*M354/100)</f>
        <v>363.91050000000001</v>
      </c>
    </row>
    <row r="355" spans="5:16" x14ac:dyDescent="0.25">
      <c r="E355" s="2">
        <v>10353</v>
      </c>
      <c r="F355" s="8">
        <v>45902</v>
      </c>
      <c r="G355" s="2" t="s">
        <v>27</v>
      </c>
      <c r="H355" s="2" t="s">
        <v>21</v>
      </c>
      <c r="I355" s="2" t="s">
        <v>40</v>
      </c>
      <c r="J355" s="2" t="s">
        <v>53</v>
      </c>
      <c r="K355" s="2">
        <v>16</v>
      </c>
      <c r="L355" s="2">
        <v>3487.48</v>
      </c>
      <c r="M355" s="2">
        <v>0</v>
      </c>
      <c r="N355" s="2" t="s">
        <v>23</v>
      </c>
      <c r="O355">
        <f t="shared" si="5"/>
        <v>55799.68</v>
      </c>
      <c r="P355">
        <f>O355-(O355*M355/100)</f>
        <v>55799.68</v>
      </c>
    </row>
    <row r="356" spans="5:16" x14ac:dyDescent="0.25">
      <c r="E356" s="2">
        <v>10354</v>
      </c>
      <c r="F356" s="8">
        <v>45964</v>
      </c>
      <c r="G356" s="2" t="s">
        <v>48</v>
      </c>
      <c r="H356" s="2" t="s">
        <v>47</v>
      </c>
      <c r="I356" s="2" t="s">
        <v>17</v>
      </c>
      <c r="J356" s="2" t="s">
        <v>28</v>
      </c>
      <c r="K356" s="2">
        <v>1</v>
      </c>
      <c r="L356" s="2">
        <v>3493.23</v>
      </c>
      <c r="M356" s="2">
        <v>5</v>
      </c>
      <c r="N356" s="2" t="s">
        <v>26</v>
      </c>
      <c r="O356">
        <f t="shared" si="5"/>
        <v>3493.23</v>
      </c>
      <c r="P356">
        <f>O356-(O356*M356/100)</f>
        <v>3318.5684999999999</v>
      </c>
    </row>
    <row r="357" spans="5:16" x14ac:dyDescent="0.25">
      <c r="E357" s="2">
        <v>10355</v>
      </c>
      <c r="F357" s="8">
        <v>46006</v>
      </c>
      <c r="G357" s="2" t="s">
        <v>15</v>
      </c>
      <c r="H357" s="2" t="s">
        <v>51</v>
      </c>
      <c r="I357" s="2" t="s">
        <v>17</v>
      </c>
      <c r="J357" s="2" t="s">
        <v>36</v>
      </c>
      <c r="K357" s="2">
        <v>15</v>
      </c>
      <c r="L357" s="2">
        <v>1718.89</v>
      </c>
      <c r="M357" s="2">
        <v>20</v>
      </c>
      <c r="N357" s="2" t="s">
        <v>19</v>
      </c>
      <c r="O357">
        <f t="shared" si="5"/>
        <v>25783.350000000002</v>
      </c>
      <c r="P357">
        <f>O357-(O357*M357/100)</f>
        <v>20626.68</v>
      </c>
    </row>
    <row r="358" spans="5:16" x14ac:dyDescent="0.25">
      <c r="E358" s="2">
        <v>10356</v>
      </c>
      <c r="F358" s="8">
        <v>45955</v>
      </c>
      <c r="G358" s="2" t="s">
        <v>15</v>
      </c>
      <c r="H358" s="2" t="s">
        <v>47</v>
      </c>
      <c r="I358" s="2" t="s">
        <v>17</v>
      </c>
      <c r="J358" s="2" t="s">
        <v>28</v>
      </c>
      <c r="K358" s="2">
        <v>6</v>
      </c>
      <c r="L358" s="2">
        <v>2702.05</v>
      </c>
      <c r="M358" s="2">
        <v>10</v>
      </c>
      <c r="N358" s="2" t="s">
        <v>19</v>
      </c>
      <c r="O358">
        <f t="shared" si="5"/>
        <v>16212.300000000001</v>
      </c>
      <c r="P358">
        <f>O358-(O358*M358/100)</f>
        <v>14591.070000000002</v>
      </c>
    </row>
    <row r="359" spans="5:16" x14ac:dyDescent="0.25">
      <c r="E359" s="2">
        <v>10357</v>
      </c>
      <c r="F359" s="8">
        <v>45805</v>
      </c>
      <c r="G359" s="2" t="s">
        <v>10</v>
      </c>
      <c r="H359" s="2" t="s">
        <v>21</v>
      </c>
      <c r="I359" s="2" t="s">
        <v>40</v>
      </c>
      <c r="J359" s="2" t="s">
        <v>49</v>
      </c>
      <c r="K359" s="2">
        <v>8</v>
      </c>
      <c r="L359" s="2">
        <v>4876.7</v>
      </c>
      <c r="M359" s="2">
        <v>5</v>
      </c>
      <c r="N359" s="2" t="s">
        <v>19</v>
      </c>
      <c r="O359">
        <f t="shared" si="5"/>
        <v>39013.599999999999</v>
      </c>
      <c r="P359">
        <f>O359-(O359*M359/100)</f>
        <v>37062.92</v>
      </c>
    </row>
    <row r="360" spans="5:16" x14ac:dyDescent="0.25">
      <c r="E360" s="2">
        <v>10358</v>
      </c>
      <c r="F360" s="8">
        <v>45962</v>
      </c>
      <c r="G360" s="2" t="s">
        <v>27</v>
      </c>
      <c r="H360" s="2" t="s">
        <v>47</v>
      </c>
      <c r="I360" s="2" t="s">
        <v>34</v>
      </c>
      <c r="J360" s="2" t="s">
        <v>38</v>
      </c>
      <c r="K360" s="2">
        <v>10</v>
      </c>
      <c r="L360" s="2">
        <v>1566.12</v>
      </c>
      <c r="M360" s="2">
        <v>0</v>
      </c>
      <c r="N360" s="2" t="s">
        <v>19</v>
      </c>
      <c r="O360">
        <f t="shared" si="5"/>
        <v>15661.199999999999</v>
      </c>
      <c r="P360">
        <f>O360-(O360*M360/100)</f>
        <v>15661.199999999999</v>
      </c>
    </row>
    <row r="361" spans="5:16" x14ac:dyDescent="0.25">
      <c r="E361" s="2">
        <v>10359</v>
      </c>
      <c r="F361" s="8">
        <v>45710</v>
      </c>
      <c r="G361" s="2" t="s">
        <v>42</v>
      </c>
      <c r="H361" s="2" t="s">
        <v>11</v>
      </c>
      <c r="I361" s="2" t="s">
        <v>34</v>
      </c>
      <c r="J361" s="2" t="s">
        <v>44</v>
      </c>
      <c r="K361" s="2">
        <v>12</v>
      </c>
      <c r="L361" s="2">
        <v>1932.12</v>
      </c>
      <c r="M361" s="2">
        <v>20</v>
      </c>
      <c r="N361" s="2" t="s">
        <v>26</v>
      </c>
      <c r="O361">
        <f t="shared" si="5"/>
        <v>23185.439999999999</v>
      </c>
      <c r="P361">
        <f>O361-(O361*M361/100)</f>
        <v>18548.351999999999</v>
      </c>
    </row>
    <row r="362" spans="5:16" x14ac:dyDescent="0.25">
      <c r="E362" s="2">
        <v>10360</v>
      </c>
      <c r="F362" s="8">
        <v>45964</v>
      </c>
      <c r="G362" s="2" t="s">
        <v>15</v>
      </c>
      <c r="H362" s="2" t="s">
        <v>25</v>
      </c>
      <c r="I362" s="2" t="s">
        <v>34</v>
      </c>
      <c r="J362" s="2" t="s">
        <v>35</v>
      </c>
      <c r="K362" s="2">
        <v>16</v>
      </c>
      <c r="L362" s="2">
        <v>1237.6600000000001</v>
      </c>
      <c r="M362" s="2">
        <v>15</v>
      </c>
      <c r="N362" s="2" t="s">
        <v>14</v>
      </c>
      <c r="O362">
        <f t="shared" si="5"/>
        <v>19802.560000000001</v>
      </c>
      <c r="P362">
        <f>O362-(O362*M362/100)</f>
        <v>16832.175999999999</v>
      </c>
    </row>
    <row r="363" spans="5:16" x14ac:dyDescent="0.25">
      <c r="E363" s="2">
        <v>10361</v>
      </c>
      <c r="F363" s="8">
        <v>45924</v>
      </c>
      <c r="G363" s="2" t="s">
        <v>10</v>
      </c>
      <c r="H363" s="2" t="s">
        <v>29</v>
      </c>
      <c r="I363" s="2" t="s">
        <v>12</v>
      </c>
      <c r="J363" s="2" t="s">
        <v>13</v>
      </c>
      <c r="K363" s="2">
        <v>16</v>
      </c>
      <c r="L363" s="2">
        <v>2524.0100000000002</v>
      </c>
      <c r="M363" s="2">
        <v>0</v>
      </c>
      <c r="N363" s="2" t="s">
        <v>30</v>
      </c>
      <c r="O363">
        <f t="shared" si="5"/>
        <v>40384.160000000003</v>
      </c>
      <c r="P363">
        <f>O363-(O363*M363/100)</f>
        <v>40384.160000000003</v>
      </c>
    </row>
    <row r="364" spans="5:16" x14ac:dyDescent="0.25">
      <c r="E364" s="2">
        <v>10362</v>
      </c>
      <c r="F364" s="8">
        <v>45706</v>
      </c>
      <c r="G364" s="2" t="s">
        <v>27</v>
      </c>
      <c r="H364" s="2" t="s">
        <v>47</v>
      </c>
      <c r="I364" s="2" t="s">
        <v>40</v>
      </c>
      <c r="J364" s="2" t="s">
        <v>41</v>
      </c>
      <c r="K364" s="2">
        <v>5</v>
      </c>
      <c r="L364" s="2">
        <v>3385.77</v>
      </c>
      <c r="M364" s="2">
        <v>10</v>
      </c>
      <c r="N364" s="2" t="s">
        <v>14</v>
      </c>
      <c r="O364">
        <f t="shared" si="5"/>
        <v>16928.849999999999</v>
      </c>
      <c r="P364">
        <f>O364-(O364*M364/100)</f>
        <v>15235.964999999998</v>
      </c>
    </row>
    <row r="365" spans="5:16" x14ac:dyDescent="0.25">
      <c r="E365" s="2">
        <v>10363</v>
      </c>
      <c r="F365" s="8">
        <v>45870</v>
      </c>
      <c r="G365" s="2" t="s">
        <v>27</v>
      </c>
      <c r="H365" s="2" t="s">
        <v>37</v>
      </c>
      <c r="I365" s="2" t="s">
        <v>34</v>
      </c>
      <c r="J365" s="2" t="s">
        <v>38</v>
      </c>
      <c r="K365" s="2">
        <v>6</v>
      </c>
      <c r="L365" s="2">
        <v>546.11</v>
      </c>
      <c r="M365" s="2">
        <v>0</v>
      </c>
      <c r="N365" s="2" t="s">
        <v>30</v>
      </c>
      <c r="O365">
        <f t="shared" si="5"/>
        <v>3276.66</v>
      </c>
      <c r="P365">
        <f>O365-(O365*M365/100)</f>
        <v>3276.66</v>
      </c>
    </row>
    <row r="366" spans="5:16" x14ac:dyDescent="0.25">
      <c r="E366" s="2">
        <v>10364</v>
      </c>
      <c r="F366" s="8">
        <v>45918</v>
      </c>
      <c r="G366" s="2" t="s">
        <v>43</v>
      </c>
      <c r="H366" s="2" t="s">
        <v>29</v>
      </c>
      <c r="I366" s="2" t="s">
        <v>34</v>
      </c>
      <c r="J366" s="2" t="s">
        <v>44</v>
      </c>
      <c r="K366" s="2">
        <v>2</v>
      </c>
      <c r="L366" s="2">
        <v>4650.67</v>
      </c>
      <c r="M366" s="2">
        <v>0</v>
      </c>
      <c r="N366" s="2" t="s">
        <v>23</v>
      </c>
      <c r="O366">
        <f t="shared" si="5"/>
        <v>9301.34</v>
      </c>
      <c r="P366">
        <f>O366-(O366*M366/100)</f>
        <v>9301.34</v>
      </c>
    </row>
    <row r="367" spans="5:16" x14ac:dyDescent="0.25">
      <c r="E367" s="2">
        <v>10365</v>
      </c>
      <c r="F367" s="8">
        <v>45755</v>
      </c>
      <c r="G367" s="2" t="s">
        <v>32</v>
      </c>
      <c r="H367" s="2" t="s">
        <v>29</v>
      </c>
      <c r="I367" s="2" t="s">
        <v>34</v>
      </c>
      <c r="J367" s="2" t="s">
        <v>44</v>
      </c>
      <c r="K367" s="2">
        <v>3</v>
      </c>
      <c r="L367" s="2">
        <v>3028.64</v>
      </c>
      <c r="M367" s="2">
        <v>20</v>
      </c>
      <c r="N367" s="2" t="s">
        <v>19</v>
      </c>
      <c r="O367">
        <f t="shared" si="5"/>
        <v>9085.92</v>
      </c>
      <c r="P367">
        <f>O367-(O367*M367/100)</f>
        <v>7268.7359999999999</v>
      </c>
    </row>
    <row r="368" spans="5:16" x14ac:dyDescent="0.25">
      <c r="E368" s="2">
        <v>10366</v>
      </c>
      <c r="F368" s="8">
        <v>45834</v>
      </c>
      <c r="G368" s="2" t="s">
        <v>32</v>
      </c>
      <c r="H368" s="2" t="s">
        <v>16</v>
      </c>
      <c r="I368" s="2" t="s">
        <v>40</v>
      </c>
      <c r="J368" s="2" t="s">
        <v>46</v>
      </c>
      <c r="K368" s="2">
        <v>6</v>
      </c>
      <c r="L368" s="2">
        <v>2022.85</v>
      </c>
      <c r="M368" s="2">
        <v>20</v>
      </c>
      <c r="N368" s="2" t="s">
        <v>19</v>
      </c>
      <c r="O368">
        <f t="shared" si="5"/>
        <v>12137.099999999999</v>
      </c>
      <c r="P368">
        <f>O368-(O368*M368/100)</f>
        <v>9709.6799999999985</v>
      </c>
    </row>
    <row r="369" spans="5:16" x14ac:dyDescent="0.25">
      <c r="E369" s="2">
        <v>10367</v>
      </c>
      <c r="F369" s="8">
        <v>45906</v>
      </c>
      <c r="G369" s="2" t="s">
        <v>32</v>
      </c>
      <c r="H369" s="2" t="s">
        <v>52</v>
      </c>
      <c r="I369" s="2" t="s">
        <v>17</v>
      </c>
      <c r="J369" s="2" t="s">
        <v>36</v>
      </c>
      <c r="K369" s="2">
        <v>13</v>
      </c>
      <c r="L369" s="2">
        <v>4082.94</v>
      </c>
      <c r="M369" s="2">
        <v>20</v>
      </c>
      <c r="N369" s="2" t="s">
        <v>14</v>
      </c>
      <c r="O369">
        <f t="shared" si="5"/>
        <v>53078.22</v>
      </c>
      <c r="P369">
        <f>O369-(O369*M369/100)</f>
        <v>42462.576000000001</v>
      </c>
    </row>
    <row r="370" spans="5:16" x14ac:dyDescent="0.25">
      <c r="E370" s="2">
        <v>10368</v>
      </c>
      <c r="F370" s="8">
        <v>45790</v>
      </c>
      <c r="G370" s="2" t="s">
        <v>43</v>
      </c>
      <c r="H370" s="2" t="s">
        <v>29</v>
      </c>
      <c r="I370" s="2" t="s">
        <v>34</v>
      </c>
      <c r="J370" s="2" t="s">
        <v>50</v>
      </c>
      <c r="K370" s="2">
        <v>9</v>
      </c>
      <c r="L370" s="2">
        <v>1635.4</v>
      </c>
      <c r="M370" s="2">
        <v>20</v>
      </c>
      <c r="N370" s="2" t="s">
        <v>30</v>
      </c>
      <c r="O370">
        <f t="shared" si="5"/>
        <v>14718.6</v>
      </c>
      <c r="P370">
        <f>O370-(O370*M370/100)</f>
        <v>11774.880000000001</v>
      </c>
    </row>
    <row r="371" spans="5:16" x14ac:dyDescent="0.25">
      <c r="E371" s="2">
        <v>10369</v>
      </c>
      <c r="F371" s="8">
        <v>45774</v>
      </c>
      <c r="G371" s="2" t="s">
        <v>39</v>
      </c>
      <c r="H371" s="2" t="s">
        <v>29</v>
      </c>
      <c r="I371" s="2" t="s">
        <v>12</v>
      </c>
      <c r="J371" s="2" t="s">
        <v>13</v>
      </c>
      <c r="K371" s="2">
        <v>8</v>
      </c>
      <c r="L371" s="2">
        <v>4563.79</v>
      </c>
      <c r="M371" s="2">
        <v>5</v>
      </c>
      <c r="N371" s="2" t="s">
        <v>23</v>
      </c>
      <c r="O371">
        <f t="shared" si="5"/>
        <v>36510.32</v>
      </c>
      <c r="P371">
        <f>O371-(O371*M371/100)</f>
        <v>34684.803999999996</v>
      </c>
    </row>
    <row r="372" spans="5:16" x14ac:dyDescent="0.25">
      <c r="E372" s="2">
        <v>10370</v>
      </c>
      <c r="F372" s="8">
        <v>46008</v>
      </c>
      <c r="G372" s="2" t="s">
        <v>43</v>
      </c>
      <c r="H372" s="2" t="s">
        <v>51</v>
      </c>
      <c r="I372" s="2" t="s">
        <v>40</v>
      </c>
      <c r="J372" s="2" t="s">
        <v>41</v>
      </c>
      <c r="K372" s="2">
        <v>12</v>
      </c>
      <c r="L372" s="2">
        <v>2341.96</v>
      </c>
      <c r="M372" s="2">
        <v>10</v>
      </c>
      <c r="N372" s="2" t="s">
        <v>23</v>
      </c>
      <c r="O372">
        <f t="shared" si="5"/>
        <v>28103.52</v>
      </c>
      <c r="P372">
        <f>O372-(O372*M372/100)</f>
        <v>25293.168000000001</v>
      </c>
    </row>
    <row r="373" spans="5:16" x14ac:dyDescent="0.25">
      <c r="E373" s="2">
        <v>10371</v>
      </c>
      <c r="F373" s="8">
        <v>45770</v>
      </c>
      <c r="G373" s="2" t="s">
        <v>27</v>
      </c>
      <c r="H373" s="2" t="s">
        <v>29</v>
      </c>
      <c r="I373" s="2" t="s">
        <v>12</v>
      </c>
      <c r="J373" s="2" t="s">
        <v>22</v>
      </c>
      <c r="K373" s="2">
        <v>19</v>
      </c>
      <c r="L373" s="2">
        <v>4482.6899999999996</v>
      </c>
      <c r="M373" s="2">
        <v>15</v>
      </c>
      <c r="N373" s="2" t="s">
        <v>26</v>
      </c>
      <c r="O373">
        <f t="shared" si="5"/>
        <v>85171.109999999986</v>
      </c>
      <c r="P373">
        <f>O373-(O373*M373/100)</f>
        <v>72395.443499999994</v>
      </c>
    </row>
    <row r="374" spans="5:16" x14ac:dyDescent="0.25">
      <c r="E374" s="2">
        <v>10372</v>
      </c>
      <c r="F374" s="8">
        <v>45876</v>
      </c>
      <c r="G374" s="2" t="s">
        <v>15</v>
      </c>
      <c r="H374" s="2" t="s">
        <v>37</v>
      </c>
      <c r="I374" s="2" t="s">
        <v>34</v>
      </c>
      <c r="J374" s="2" t="s">
        <v>44</v>
      </c>
      <c r="K374" s="2">
        <v>3</v>
      </c>
      <c r="L374" s="2">
        <v>4317.07</v>
      </c>
      <c r="M374" s="2">
        <v>15</v>
      </c>
      <c r="N374" s="2" t="s">
        <v>30</v>
      </c>
      <c r="O374">
        <f t="shared" si="5"/>
        <v>12951.21</v>
      </c>
      <c r="P374">
        <f>O374-(O374*M374/100)</f>
        <v>11008.528499999999</v>
      </c>
    </row>
    <row r="375" spans="5:16" x14ac:dyDescent="0.25">
      <c r="E375" s="2">
        <v>10373</v>
      </c>
      <c r="F375" s="8">
        <v>45947</v>
      </c>
      <c r="G375" s="2" t="s">
        <v>15</v>
      </c>
      <c r="H375" s="2" t="s">
        <v>45</v>
      </c>
      <c r="I375" s="2" t="s">
        <v>34</v>
      </c>
      <c r="J375" s="2" t="s">
        <v>35</v>
      </c>
      <c r="K375" s="2">
        <v>20</v>
      </c>
      <c r="L375" s="2">
        <v>3730.67</v>
      </c>
      <c r="M375" s="2">
        <v>20</v>
      </c>
      <c r="N375" s="2" t="s">
        <v>19</v>
      </c>
      <c r="O375">
        <f t="shared" si="5"/>
        <v>74613.399999999994</v>
      </c>
      <c r="P375">
        <f>O375-(O375*M375/100)</f>
        <v>59690.719999999994</v>
      </c>
    </row>
    <row r="376" spans="5:16" x14ac:dyDescent="0.25">
      <c r="E376" s="2">
        <v>10374</v>
      </c>
      <c r="F376" s="8">
        <v>45794</v>
      </c>
      <c r="G376" s="2" t="s">
        <v>15</v>
      </c>
      <c r="H376" s="2" t="s">
        <v>51</v>
      </c>
      <c r="I376" s="2" t="s">
        <v>40</v>
      </c>
      <c r="J376" s="2" t="s">
        <v>49</v>
      </c>
      <c r="K376" s="2">
        <v>11</v>
      </c>
      <c r="L376" s="2">
        <v>1117.1600000000001</v>
      </c>
      <c r="M376" s="2">
        <v>15</v>
      </c>
      <c r="N376" s="2" t="s">
        <v>30</v>
      </c>
      <c r="O376">
        <f t="shared" si="5"/>
        <v>12288.76</v>
      </c>
      <c r="P376">
        <f>O376-(O376*M376/100)</f>
        <v>10445.446</v>
      </c>
    </row>
    <row r="377" spans="5:16" x14ac:dyDescent="0.25">
      <c r="E377" s="2">
        <v>10375</v>
      </c>
      <c r="F377" s="8">
        <v>45659</v>
      </c>
      <c r="G377" s="2" t="s">
        <v>10</v>
      </c>
      <c r="H377" s="2" t="s">
        <v>29</v>
      </c>
      <c r="I377" s="2" t="s">
        <v>12</v>
      </c>
      <c r="J377" s="2" t="s">
        <v>13</v>
      </c>
      <c r="K377" s="2">
        <v>3</v>
      </c>
      <c r="L377" s="2">
        <v>2113.4</v>
      </c>
      <c r="M377" s="2">
        <v>0</v>
      </c>
      <c r="N377" s="2" t="s">
        <v>30</v>
      </c>
      <c r="O377">
        <f t="shared" si="5"/>
        <v>6340.2000000000007</v>
      </c>
      <c r="P377">
        <f>O377-(O377*M377/100)</f>
        <v>6340.2000000000007</v>
      </c>
    </row>
    <row r="378" spans="5:16" x14ac:dyDescent="0.25">
      <c r="E378" s="2">
        <v>10376</v>
      </c>
      <c r="F378" s="8">
        <v>45806</v>
      </c>
      <c r="G378" s="2" t="s">
        <v>15</v>
      </c>
      <c r="H378" s="2" t="s">
        <v>21</v>
      </c>
      <c r="I378" s="2" t="s">
        <v>34</v>
      </c>
      <c r="J378" s="2" t="s">
        <v>35</v>
      </c>
      <c r="K378" s="2">
        <v>1</v>
      </c>
      <c r="L378" s="2">
        <v>2165.14</v>
      </c>
      <c r="M378" s="2">
        <v>15</v>
      </c>
      <c r="N378" s="2" t="s">
        <v>26</v>
      </c>
      <c r="O378">
        <f t="shared" si="5"/>
        <v>2165.14</v>
      </c>
      <c r="P378">
        <f>O378-(O378*M378/100)</f>
        <v>1840.3689999999999</v>
      </c>
    </row>
    <row r="379" spans="5:16" x14ac:dyDescent="0.25">
      <c r="E379" s="2">
        <v>10377</v>
      </c>
      <c r="F379" s="8">
        <v>46000</v>
      </c>
      <c r="G379" s="2" t="s">
        <v>39</v>
      </c>
      <c r="H379" s="2" t="s">
        <v>16</v>
      </c>
      <c r="I379" s="2" t="s">
        <v>40</v>
      </c>
      <c r="J379" s="2" t="s">
        <v>53</v>
      </c>
      <c r="K379" s="2">
        <v>16</v>
      </c>
      <c r="L379" s="2">
        <v>1398.82</v>
      </c>
      <c r="M379" s="2">
        <v>0</v>
      </c>
      <c r="N379" s="2" t="s">
        <v>23</v>
      </c>
      <c r="O379">
        <f t="shared" si="5"/>
        <v>22381.119999999999</v>
      </c>
      <c r="P379">
        <f>O379-(O379*M379/100)</f>
        <v>22381.119999999999</v>
      </c>
    </row>
    <row r="380" spans="5:16" x14ac:dyDescent="0.25">
      <c r="E380" s="2">
        <v>10378</v>
      </c>
      <c r="F380" s="8">
        <v>45886</v>
      </c>
      <c r="G380" s="2" t="s">
        <v>24</v>
      </c>
      <c r="H380" s="2" t="s">
        <v>51</v>
      </c>
      <c r="I380" s="2" t="s">
        <v>40</v>
      </c>
      <c r="J380" s="2" t="s">
        <v>49</v>
      </c>
      <c r="K380" s="2">
        <v>6</v>
      </c>
      <c r="L380" s="2">
        <v>137.65</v>
      </c>
      <c r="M380" s="2">
        <v>15</v>
      </c>
      <c r="N380" s="2" t="s">
        <v>23</v>
      </c>
      <c r="O380">
        <f t="shared" si="5"/>
        <v>825.90000000000009</v>
      </c>
      <c r="P380">
        <f>O380-(O380*M380/100)</f>
        <v>702.0150000000001</v>
      </c>
    </row>
    <row r="381" spans="5:16" x14ac:dyDescent="0.25">
      <c r="E381" s="2">
        <v>10379</v>
      </c>
      <c r="F381" s="8">
        <v>45750</v>
      </c>
      <c r="G381" s="2" t="s">
        <v>10</v>
      </c>
      <c r="H381" s="2" t="s">
        <v>51</v>
      </c>
      <c r="I381" s="2" t="s">
        <v>17</v>
      </c>
      <c r="J381" s="2" t="s">
        <v>28</v>
      </c>
      <c r="K381" s="2">
        <v>1</v>
      </c>
      <c r="L381" s="2">
        <v>1468.49</v>
      </c>
      <c r="M381" s="2">
        <v>20</v>
      </c>
      <c r="N381" s="2" t="s">
        <v>30</v>
      </c>
      <c r="O381">
        <f t="shared" si="5"/>
        <v>1468.49</v>
      </c>
      <c r="P381">
        <f>O381-(O381*M381/100)</f>
        <v>1174.7919999999999</v>
      </c>
    </row>
    <row r="382" spans="5:16" x14ac:dyDescent="0.25">
      <c r="E382" s="2">
        <v>10380</v>
      </c>
      <c r="F382" s="8">
        <v>45691</v>
      </c>
      <c r="G382" s="2" t="s">
        <v>42</v>
      </c>
      <c r="H382" s="2" t="s">
        <v>37</v>
      </c>
      <c r="I382" s="2" t="s">
        <v>40</v>
      </c>
      <c r="J382" s="2" t="s">
        <v>46</v>
      </c>
      <c r="K382" s="2">
        <v>3</v>
      </c>
      <c r="L382" s="2">
        <v>1654.15</v>
      </c>
      <c r="M382" s="2">
        <v>0</v>
      </c>
      <c r="N382" s="2" t="s">
        <v>30</v>
      </c>
      <c r="O382">
        <f t="shared" si="5"/>
        <v>4962.4500000000007</v>
      </c>
      <c r="P382">
        <f>O382-(O382*M382/100)</f>
        <v>4962.4500000000007</v>
      </c>
    </row>
    <row r="383" spans="5:16" x14ac:dyDescent="0.25">
      <c r="E383" s="2">
        <v>10381</v>
      </c>
      <c r="F383" s="8">
        <v>45841</v>
      </c>
      <c r="G383" s="2" t="s">
        <v>31</v>
      </c>
      <c r="H383" s="2" t="s">
        <v>21</v>
      </c>
      <c r="I383" s="2" t="s">
        <v>17</v>
      </c>
      <c r="J383" s="2" t="s">
        <v>28</v>
      </c>
      <c r="K383" s="2">
        <v>13</v>
      </c>
      <c r="L383" s="2">
        <v>3021.24</v>
      </c>
      <c r="M383" s="2">
        <v>10</v>
      </c>
      <c r="N383" s="2" t="s">
        <v>14</v>
      </c>
      <c r="O383">
        <f t="shared" si="5"/>
        <v>39276.119999999995</v>
      </c>
      <c r="P383">
        <f>O383-(O383*M383/100)</f>
        <v>35348.507999999994</v>
      </c>
    </row>
    <row r="384" spans="5:16" x14ac:dyDescent="0.25">
      <c r="E384" s="2">
        <v>10382</v>
      </c>
      <c r="F384" s="8">
        <v>45946</v>
      </c>
      <c r="G384" s="2" t="s">
        <v>10</v>
      </c>
      <c r="H384" s="2" t="s">
        <v>37</v>
      </c>
      <c r="I384" s="2" t="s">
        <v>17</v>
      </c>
      <c r="J384" s="2" t="s">
        <v>36</v>
      </c>
      <c r="K384" s="2">
        <v>13</v>
      </c>
      <c r="L384" s="2">
        <v>3073.62</v>
      </c>
      <c r="M384" s="2">
        <v>15</v>
      </c>
      <c r="N384" s="2" t="s">
        <v>19</v>
      </c>
      <c r="O384">
        <f t="shared" si="5"/>
        <v>39957.06</v>
      </c>
      <c r="P384">
        <f>O384-(O384*M384/100)</f>
        <v>33963.500999999997</v>
      </c>
    </row>
    <row r="385" spans="5:16" x14ac:dyDescent="0.25">
      <c r="E385" s="2">
        <v>10383</v>
      </c>
      <c r="F385" s="8">
        <v>45981</v>
      </c>
      <c r="G385" s="2" t="s">
        <v>54</v>
      </c>
      <c r="H385" s="2" t="s">
        <v>11</v>
      </c>
      <c r="I385" s="2" t="s">
        <v>40</v>
      </c>
      <c r="J385" s="2" t="s">
        <v>53</v>
      </c>
      <c r="K385" s="2">
        <v>14</v>
      </c>
      <c r="L385" s="2">
        <v>3651.08</v>
      </c>
      <c r="M385" s="2">
        <v>0</v>
      </c>
      <c r="N385" s="2" t="s">
        <v>14</v>
      </c>
      <c r="O385">
        <f t="shared" si="5"/>
        <v>51115.119999999995</v>
      </c>
      <c r="P385">
        <f>O385-(O385*M385/100)</f>
        <v>51115.119999999995</v>
      </c>
    </row>
    <row r="386" spans="5:16" x14ac:dyDescent="0.25">
      <c r="E386" s="2">
        <v>10384</v>
      </c>
      <c r="F386" s="8">
        <v>45777</v>
      </c>
      <c r="G386" s="2" t="s">
        <v>31</v>
      </c>
      <c r="H386" s="2" t="s">
        <v>16</v>
      </c>
      <c r="I386" s="2" t="s">
        <v>17</v>
      </c>
      <c r="J386" s="2" t="s">
        <v>18</v>
      </c>
      <c r="K386" s="2">
        <v>8</v>
      </c>
      <c r="L386" s="2">
        <v>1834.72</v>
      </c>
      <c r="M386" s="2">
        <v>5</v>
      </c>
      <c r="N386" s="2" t="s">
        <v>19</v>
      </c>
      <c r="O386">
        <f t="shared" si="5"/>
        <v>14677.76</v>
      </c>
      <c r="P386">
        <f>O386-(O386*M386/100)</f>
        <v>13943.871999999999</v>
      </c>
    </row>
    <row r="387" spans="5:16" x14ac:dyDescent="0.25">
      <c r="E387" s="2">
        <v>10385</v>
      </c>
      <c r="F387" s="8">
        <v>46005</v>
      </c>
      <c r="G387" s="2" t="s">
        <v>43</v>
      </c>
      <c r="H387" s="2" t="s">
        <v>45</v>
      </c>
      <c r="I387" s="2" t="s">
        <v>17</v>
      </c>
      <c r="J387" s="2" t="s">
        <v>18</v>
      </c>
      <c r="K387" s="2">
        <v>14</v>
      </c>
      <c r="L387" s="2">
        <v>3718.49</v>
      </c>
      <c r="M387" s="2">
        <v>15</v>
      </c>
      <c r="N387" s="2" t="s">
        <v>26</v>
      </c>
      <c r="O387">
        <f t="shared" si="5"/>
        <v>52058.86</v>
      </c>
      <c r="P387">
        <f>O387-(O387*M387/100)</f>
        <v>44250.031000000003</v>
      </c>
    </row>
    <row r="388" spans="5:16" x14ac:dyDescent="0.25">
      <c r="E388" s="2">
        <v>10386</v>
      </c>
      <c r="F388" s="8">
        <v>45727</v>
      </c>
      <c r="G388" s="2" t="s">
        <v>54</v>
      </c>
      <c r="H388" s="2" t="s">
        <v>25</v>
      </c>
      <c r="I388" s="2" t="s">
        <v>12</v>
      </c>
      <c r="J388" s="2" t="s">
        <v>56</v>
      </c>
      <c r="K388" s="2">
        <v>15</v>
      </c>
      <c r="L388" s="2">
        <v>3767.15</v>
      </c>
      <c r="M388" s="2">
        <v>10</v>
      </c>
      <c r="N388" s="2" t="s">
        <v>14</v>
      </c>
      <c r="O388">
        <f t="shared" ref="O388:O451" si="6">K388*L388</f>
        <v>56507.25</v>
      </c>
      <c r="P388">
        <f>O388-(O388*M388/100)</f>
        <v>50856.525000000001</v>
      </c>
    </row>
    <row r="389" spans="5:16" x14ac:dyDescent="0.25">
      <c r="E389" s="2">
        <v>10387</v>
      </c>
      <c r="F389" s="8">
        <v>45699</v>
      </c>
      <c r="G389" s="2" t="s">
        <v>48</v>
      </c>
      <c r="H389" s="2" t="s">
        <v>45</v>
      </c>
      <c r="I389" s="2" t="s">
        <v>17</v>
      </c>
      <c r="J389" s="2" t="s">
        <v>36</v>
      </c>
      <c r="K389" s="2">
        <v>5</v>
      </c>
      <c r="L389" s="2">
        <v>4144.37</v>
      </c>
      <c r="M389" s="2">
        <v>5</v>
      </c>
      <c r="N389" s="2" t="s">
        <v>23</v>
      </c>
      <c r="O389">
        <f t="shared" si="6"/>
        <v>20721.849999999999</v>
      </c>
      <c r="P389">
        <f>O389-(O389*M389/100)</f>
        <v>19685.7575</v>
      </c>
    </row>
    <row r="390" spans="5:16" x14ac:dyDescent="0.25">
      <c r="E390" s="2">
        <v>10388</v>
      </c>
      <c r="F390" s="8">
        <v>45758</v>
      </c>
      <c r="G390" s="2" t="s">
        <v>31</v>
      </c>
      <c r="H390" s="2" t="s">
        <v>51</v>
      </c>
      <c r="I390" s="2" t="s">
        <v>40</v>
      </c>
      <c r="J390" s="2" t="s">
        <v>53</v>
      </c>
      <c r="K390" s="2">
        <v>15</v>
      </c>
      <c r="L390" s="2">
        <v>1484.17</v>
      </c>
      <c r="M390" s="2">
        <v>5</v>
      </c>
      <c r="N390" s="2" t="s">
        <v>19</v>
      </c>
      <c r="O390">
        <f t="shared" si="6"/>
        <v>22262.550000000003</v>
      </c>
      <c r="P390">
        <f>O390-(O390*M390/100)</f>
        <v>21149.422500000004</v>
      </c>
    </row>
    <row r="391" spans="5:16" x14ac:dyDescent="0.25">
      <c r="E391" s="2">
        <v>10389</v>
      </c>
      <c r="F391" s="8">
        <v>45825</v>
      </c>
      <c r="G391" s="2" t="s">
        <v>54</v>
      </c>
      <c r="H391" s="2" t="s">
        <v>47</v>
      </c>
      <c r="I391" s="2" t="s">
        <v>12</v>
      </c>
      <c r="J391" s="2" t="s">
        <v>13</v>
      </c>
      <c r="K391" s="2">
        <v>5</v>
      </c>
      <c r="L391" s="2">
        <v>1647.81</v>
      </c>
      <c r="M391" s="2">
        <v>20</v>
      </c>
      <c r="N391" s="2" t="s">
        <v>30</v>
      </c>
      <c r="O391">
        <f t="shared" si="6"/>
        <v>8239.0499999999993</v>
      </c>
      <c r="P391">
        <f>O391-(O391*M391/100)</f>
        <v>6591.24</v>
      </c>
    </row>
    <row r="392" spans="5:16" x14ac:dyDescent="0.25">
      <c r="E392" s="2">
        <v>10390</v>
      </c>
      <c r="F392" s="8">
        <v>46005</v>
      </c>
      <c r="G392" s="2" t="s">
        <v>27</v>
      </c>
      <c r="H392" s="2" t="s">
        <v>47</v>
      </c>
      <c r="I392" s="2" t="s">
        <v>12</v>
      </c>
      <c r="J392" s="2" t="s">
        <v>56</v>
      </c>
      <c r="K392" s="2">
        <v>1</v>
      </c>
      <c r="L392" s="2">
        <v>3301.12</v>
      </c>
      <c r="M392" s="2">
        <v>20</v>
      </c>
      <c r="N392" s="2" t="s">
        <v>19</v>
      </c>
      <c r="O392">
        <f t="shared" si="6"/>
        <v>3301.12</v>
      </c>
      <c r="P392">
        <f>O392-(O392*M392/100)</f>
        <v>2640.8959999999997</v>
      </c>
    </row>
    <row r="393" spans="5:16" x14ac:dyDescent="0.25">
      <c r="E393" s="2">
        <v>10391</v>
      </c>
      <c r="F393" s="8">
        <v>45671</v>
      </c>
      <c r="G393" s="2" t="s">
        <v>39</v>
      </c>
      <c r="H393" s="2" t="s">
        <v>21</v>
      </c>
      <c r="I393" s="2" t="s">
        <v>17</v>
      </c>
      <c r="J393" s="2" t="s">
        <v>55</v>
      </c>
      <c r="K393" s="2">
        <v>8</v>
      </c>
      <c r="L393" s="2">
        <v>3073.06</v>
      </c>
      <c r="M393" s="2">
        <v>20</v>
      </c>
      <c r="N393" s="2" t="s">
        <v>26</v>
      </c>
      <c r="O393">
        <f t="shared" si="6"/>
        <v>24584.48</v>
      </c>
      <c r="P393">
        <f>O393-(O393*M393/100)</f>
        <v>19667.583999999999</v>
      </c>
    </row>
    <row r="394" spans="5:16" x14ac:dyDescent="0.25">
      <c r="E394" s="2">
        <v>10392</v>
      </c>
      <c r="F394" s="8">
        <v>45815</v>
      </c>
      <c r="G394" s="2" t="s">
        <v>54</v>
      </c>
      <c r="H394" s="2" t="s">
        <v>47</v>
      </c>
      <c r="I394" s="2" t="s">
        <v>12</v>
      </c>
      <c r="J394" s="2" t="s">
        <v>22</v>
      </c>
      <c r="K394" s="2">
        <v>10</v>
      </c>
      <c r="L394" s="2">
        <v>1822.59</v>
      </c>
      <c r="M394" s="2">
        <v>20</v>
      </c>
      <c r="N394" s="2" t="s">
        <v>14</v>
      </c>
      <c r="O394">
        <f t="shared" si="6"/>
        <v>18225.899999999998</v>
      </c>
      <c r="P394">
        <f>O394-(O394*M394/100)</f>
        <v>14580.719999999998</v>
      </c>
    </row>
    <row r="395" spans="5:16" x14ac:dyDescent="0.25">
      <c r="E395" s="2">
        <v>10393</v>
      </c>
      <c r="F395" s="8">
        <v>46019</v>
      </c>
      <c r="G395" s="2" t="s">
        <v>10</v>
      </c>
      <c r="H395" s="2" t="s">
        <v>25</v>
      </c>
      <c r="I395" s="2" t="s">
        <v>34</v>
      </c>
      <c r="J395" s="2" t="s">
        <v>44</v>
      </c>
      <c r="K395" s="2">
        <v>13</v>
      </c>
      <c r="L395" s="2">
        <v>658.09</v>
      </c>
      <c r="M395" s="2">
        <v>0</v>
      </c>
      <c r="N395" s="2" t="s">
        <v>19</v>
      </c>
      <c r="O395">
        <f t="shared" si="6"/>
        <v>8555.17</v>
      </c>
      <c r="P395">
        <f>O395-(O395*M395/100)</f>
        <v>8555.17</v>
      </c>
    </row>
    <row r="396" spans="5:16" x14ac:dyDescent="0.25">
      <c r="E396" s="2">
        <v>10394</v>
      </c>
      <c r="F396" s="8">
        <v>45977</v>
      </c>
      <c r="G396" s="2" t="s">
        <v>24</v>
      </c>
      <c r="H396" s="2" t="s">
        <v>51</v>
      </c>
      <c r="I396" s="2" t="s">
        <v>12</v>
      </c>
      <c r="J396" s="2" t="s">
        <v>33</v>
      </c>
      <c r="K396" s="2">
        <v>19</v>
      </c>
      <c r="L396" s="2">
        <v>4292.91</v>
      </c>
      <c r="M396" s="2">
        <v>0</v>
      </c>
      <c r="N396" s="2" t="s">
        <v>19</v>
      </c>
      <c r="O396">
        <f t="shared" si="6"/>
        <v>81565.289999999994</v>
      </c>
      <c r="P396">
        <f>O396-(O396*M396/100)</f>
        <v>81565.289999999994</v>
      </c>
    </row>
    <row r="397" spans="5:16" x14ac:dyDescent="0.25">
      <c r="E397" s="2">
        <v>10395</v>
      </c>
      <c r="F397" s="8">
        <v>45895</v>
      </c>
      <c r="G397" s="2" t="s">
        <v>32</v>
      </c>
      <c r="H397" s="2" t="s">
        <v>52</v>
      </c>
      <c r="I397" s="2" t="s">
        <v>34</v>
      </c>
      <c r="J397" s="2" t="s">
        <v>44</v>
      </c>
      <c r="K397" s="2">
        <v>14</v>
      </c>
      <c r="L397" s="2">
        <v>557.24</v>
      </c>
      <c r="M397" s="2">
        <v>10</v>
      </c>
      <c r="N397" s="2" t="s">
        <v>14</v>
      </c>
      <c r="O397">
        <f t="shared" si="6"/>
        <v>7801.3600000000006</v>
      </c>
      <c r="P397">
        <f>O397-(O397*M397/100)</f>
        <v>7021.2240000000002</v>
      </c>
    </row>
    <row r="398" spans="5:16" x14ac:dyDescent="0.25">
      <c r="E398" s="2">
        <v>10396</v>
      </c>
      <c r="F398" s="8">
        <v>46012</v>
      </c>
      <c r="G398" s="2" t="s">
        <v>32</v>
      </c>
      <c r="H398" s="2" t="s">
        <v>47</v>
      </c>
      <c r="I398" s="2" t="s">
        <v>34</v>
      </c>
      <c r="J398" s="2" t="s">
        <v>38</v>
      </c>
      <c r="K398" s="2">
        <v>9</v>
      </c>
      <c r="L398" s="2">
        <v>3252.54</v>
      </c>
      <c r="M398" s="2">
        <v>10</v>
      </c>
      <c r="N398" s="2" t="s">
        <v>14</v>
      </c>
      <c r="O398">
        <f t="shared" si="6"/>
        <v>29272.86</v>
      </c>
      <c r="P398">
        <f>O398-(O398*M398/100)</f>
        <v>26345.574000000001</v>
      </c>
    </row>
    <row r="399" spans="5:16" x14ac:dyDescent="0.25">
      <c r="E399" s="2">
        <v>10397</v>
      </c>
      <c r="F399" s="8">
        <v>45845</v>
      </c>
      <c r="G399" s="2" t="s">
        <v>54</v>
      </c>
      <c r="H399" s="2" t="s">
        <v>25</v>
      </c>
      <c r="I399" s="2" t="s">
        <v>12</v>
      </c>
      <c r="J399" s="2" t="s">
        <v>22</v>
      </c>
      <c r="K399" s="2">
        <v>11</v>
      </c>
      <c r="L399" s="2">
        <v>491.91</v>
      </c>
      <c r="M399" s="2">
        <v>20</v>
      </c>
      <c r="N399" s="2" t="s">
        <v>26</v>
      </c>
      <c r="O399">
        <f t="shared" si="6"/>
        <v>5411.01</v>
      </c>
      <c r="P399">
        <f>O399-(O399*M399/100)</f>
        <v>4328.808</v>
      </c>
    </row>
    <row r="400" spans="5:16" x14ac:dyDescent="0.25">
      <c r="E400" s="2">
        <v>10398</v>
      </c>
      <c r="F400" s="8">
        <v>45952</v>
      </c>
      <c r="G400" s="2" t="s">
        <v>10</v>
      </c>
      <c r="H400" s="2" t="s">
        <v>11</v>
      </c>
      <c r="I400" s="2" t="s">
        <v>40</v>
      </c>
      <c r="J400" s="2" t="s">
        <v>49</v>
      </c>
      <c r="K400" s="2">
        <v>8</v>
      </c>
      <c r="L400" s="2">
        <v>2863.94</v>
      </c>
      <c r="M400" s="2">
        <v>10</v>
      </c>
      <c r="N400" s="2" t="s">
        <v>30</v>
      </c>
      <c r="O400">
        <f t="shared" si="6"/>
        <v>22911.52</v>
      </c>
      <c r="P400">
        <f>O400-(O400*M400/100)</f>
        <v>20620.368000000002</v>
      </c>
    </row>
    <row r="401" spans="5:16" x14ac:dyDescent="0.25">
      <c r="E401" s="2">
        <v>10399</v>
      </c>
      <c r="F401" s="8">
        <v>45788</v>
      </c>
      <c r="G401" s="2" t="s">
        <v>43</v>
      </c>
      <c r="H401" s="2" t="s">
        <v>25</v>
      </c>
      <c r="I401" s="2" t="s">
        <v>17</v>
      </c>
      <c r="J401" s="2" t="s">
        <v>28</v>
      </c>
      <c r="K401" s="2">
        <v>12</v>
      </c>
      <c r="L401" s="2">
        <v>4526.3100000000004</v>
      </c>
      <c r="M401" s="2">
        <v>20</v>
      </c>
      <c r="N401" s="2" t="s">
        <v>23</v>
      </c>
      <c r="O401">
        <f t="shared" si="6"/>
        <v>54315.72</v>
      </c>
      <c r="P401">
        <f>O401-(O401*M401/100)</f>
        <v>43452.576000000001</v>
      </c>
    </row>
    <row r="402" spans="5:16" x14ac:dyDescent="0.25">
      <c r="E402" s="2">
        <v>10400</v>
      </c>
      <c r="F402" s="8">
        <v>45881</v>
      </c>
      <c r="G402" s="2" t="s">
        <v>24</v>
      </c>
      <c r="H402" s="2" t="s">
        <v>37</v>
      </c>
      <c r="I402" s="2" t="s">
        <v>34</v>
      </c>
      <c r="J402" s="2" t="s">
        <v>38</v>
      </c>
      <c r="K402" s="2">
        <v>20</v>
      </c>
      <c r="L402" s="2">
        <v>819.81</v>
      </c>
      <c r="M402" s="2">
        <v>20</v>
      </c>
      <c r="N402" s="2" t="s">
        <v>23</v>
      </c>
      <c r="O402">
        <f t="shared" si="6"/>
        <v>16396.199999999997</v>
      </c>
      <c r="P402">
        <f>O402-(O402*M402/100)</f>
        <v>13116.959999999997</v>
      </c>
    </row>
    <row r="403" spans="5:16" x14ac:dyDescent="0.25">
      <c r="E403" s="2">
        <v>10401</v>
      </c>
      <c r="F403" s="8">
        <v>45810</v>
      </c>
      <c r="G403" s="2" t="s">
        <v>54</v>
      </c>
      <c r="H403" s="2" t="s">
        <v>16</v>
      </c>
      <c r="I403" s="2" t="s">
        <v>40</v>
      </c>
      <c r="J403" s="2" t="s">
        <v>53</v>
      </c>
      <c r="K403" s="2">
        <v>11</v>
      </c>
      <c r="L403" s="2">
        <v>4764.49</v>
      </c>
      <c r="M403" s="2">
        <v>15</v>
      </c>
      <c r="N403" s="2" t="s">
        <v>23</v>
      </c>
      <c r="O403">
        <f t="shared" si="6"/>
        <v>52409.39</v>
      </c>
      <c r="P403">
        <f>O403-(O403*M403/100)</f>
        <v>44547.981500000002</v>
      </c>
    </row>
    <row r="404" spans="5:16" x14ac:dyDescent="0.25">
      <c r="E404" s="2">
        <v>10402</v>
      </c>
      <c r="F404" s="8">
        <v>45703</v>
      </c>
      <c r="G404" s="2" t="s">
        <v>32</v>
      </c>
      <c r="H404" s="2" t="s">
        <v>25</v>
      </c>
      <c r="I404" s="2" t="s">
        <v>34</v>
      </c>
      <c r="J404" s="2" t="s">
        <v>35</v>
      </c>
      <c r="K404" s="2">
        <v>3</v>
      </c>
      <c r="L404" s="2">
        <v>3309.66</v>
      </c>
      <c r="M404" s="2">
        <v>15</v>
      </c>
      <c r="N404" s="2" t="s">
        <v>14</v>
      </c>
      <c r="O404">
        <f t="shared" si="6"/>
        <v>9928.98</v>
      </c>
      <c r="P404">
        <f>O404-(O404*M404/100)</f>
        <v>8439.6329999999998</v>
      </c>
    </row>
    <row r="405" spans="5:16" x14ac:dyDescent="0.25">
      <c r="E405" s="2">
        <v>10403</v>
      </c>
      <c r="F405" s="8">
        <v>45658</v>
      </c>
      <c r="G405" s="2" t="s">
        <v>27</v>
      </c>
      <c r="H405" s="2" t="s">
        <v>37</v>
      </c>
      <c r="I405" s="2" t="s">
        <v>12</v>
      </c>
      <c r="J405" s="2" t="s">
        <v>56</v>
      </c>
      <c r="K405" s="2">
        <v>17</v>
      </c>
      <c r="L405" s="2">
        <v>3674.24</v>
      </c>
      <c r="M405" s="2">
        <v>15</v>
      </c>
      <c r="N405" s="2" t="s">
        <v>19</v>
      </c>
      <c r="O405">
        <f t="shared" si="6"/>
        <v>62462.079999999994</v>
      </c>
      <c r="P405">
        <f>O405-(O405*M405/100)</f>
        <v>53092.767999999996</v>
      </c>
    </row>
    <row r="406" spans="5:16" x14ac:dyDescent="0.25">
      <c r="E406" s="2">
        <v>10404</v>
      </c>
      <c r="F406" s="8">
        <v>45974</v>
      </c>
      <c r="G406" s="2" t="s">
        <v>24</v>
      </c>
      <c r="H406" s="2" t="s">
        <v>21</v>
      </c>
      <c r="I406" s="2" t="s">
        <v>17</v>
      </c>
      <c r="J406" s="2" t="s">
        <v>36</v>
      </c>
      <c r="K406" s="2">
        <v>12</v>
      </c>
      <c r="L406" s="2">
        <v>80.599999999999994</v>
      </c>
      <c r="M406" s="2">
        <v>15</v>
      </c>
      <c r="N406" s="2" t="s">
        <v>14</v>
      </c>
      <c r="O406">
        <f t="shared" si="6"/>
        <v>967.19999999999993</v>
      </c>
      <c r="P406">
        <f>O406-(O406*M406/100)</f>
        <v>822.11999999999989</v>
      </c>
    </row>
    <row r="407" spans="5:16" x14ac:dyDescent="0.25">
      <c r="E407" s="2">
        <v>10405</v>
      </c>
      <c r="F407" s="8">
        <v>45695</v>
      </c>
      <c r="G407" s="2" t="s">
        <v>15</v>
      </c>
      <c r="H407" s="2" t="s">
        <v>25</v>
      </c>
      <c r="I407" s="2" t="s">
        <v>40</v>
      </c>
      <c r="J407" s="2" t="s">
        <v>46</v>
      </c>
      <c r="K407" s="2">
        <v>14</v>
      </c>
      <c r="L407" s="2">
        <v>4500.47</v>
      </c>
      <c r="M407" s="2">
        <v>20</v>
      </c>
      <c r="N407" s="2" t="s">
        <v>19</v>
      </c>
      <c r="O407">
        <f t="shared" si="6"/>
        <v>63006.58</v>
      </c>
      <c r="P407">
        <f>O407-(O407*M407/100)</f>
        <v>50405.264000000003</v>
      </c>
    </row>
    <row r="408" spans="5:16" x14ac:dyDescent="0.25">
      <c r="E408" s="2">
        <v>10406</v>
      </c>
      <c r="F408" s="8">
        <v>45786</v>
      </c>
      <c r="G408" s="2" t="s">
        <v>48</v>
      </c>
      <c r="H408" s="2" t="s">
        <v>52</v>
      </c>
      <c r="I408" s="2" t="s">
        <v>12</v>
      </c>
      <c r="J408" s="2" t="s">
        <v>22</v>
      </c>
      <c r="K408" s="2">
        <v>12</v>
      </c>
      <c r="L408" s="2">
        <v>4018.61</v>
      </c>
      <c r="M408" s="2">
        <v>20</v>
      </c>
      <c r="N408" s="2" t="s">
        <v>30</v>
      </c>
      <c r="O408">
        <f t="shared" si="6"/>
        <v>48223.32</v>
      </c>
      <c r="P408">
        <f>O408-(O408*M408/100)</f>
        <v>38578.656000000003</v>
      </c>
    </row>
    <row r="409" spans="5:16" x14ac:dyDescent="0.25">
      <c r="E409" s="2">
        <v>10407</v>
      </c>
      <c r="F409" s="8">
        <v>45734</v>
      </c>
      <c r="G409" s="2" t="s">
        <v>10</v>
      </c>
      <c r="H409" s="2" t="s">
        <v>29</v>
      </c>
      <c r="I409" s="2" t="s">
        <v>40</v>
      </c>
      <c r="J409" s="2" t="s">
        <v>46</v>
      </c>
      <c r="K409" s="2">
        <v>9</v>
      </c>
      <c r="L409" s="2">
        <v>347.75</v>
      </c>
      <c r="M409" s="2">
        <v>10</v>
      </c>
      <c r="N409" s="2" t="s">
        <v>14</v>
      </c>
      <c r="O409">
        <f t="shared" si="6"/>
        <v>3129.75</v>
      </c>
      <c r="P409">
        <f>O409-(O409*M409/100)</f>
        <v>2816.7750000000001</v>
      </c>
    </row>
    <row r="410" spans="5:16" x14ac:dyDescent="0.25">
      <c r="E410" s="2">
        <v>10408</v>
      </c>
      <c r="F410" s="8">
        <v>45998</v>
      </c>
      <c r="G410" s="2" t="s">
        <v>10</v>
      </c>
      <c r="H410" s="2" t="s">
        <v>11</v>
      </c>
      <c r="I410" s="2" t="s">
        <v>40</v>
      </c>
      <c r="J410" s="2" t="s">
        <v>46</v>
      </c>
      <c r="K410" s="2">
        <v>10</v>
      </c>
      <c r="L410" s="2">
        <v>4708.66</v>
      </c>
      <c r="M410" s="2">
        <v>20</v>
      </c>
      <c r="N410" s="2" t="s">
        <v>23</v>
      </c>
      <c r="O410">
        <f t="shared" si="6"/>
        <v>47086.6</v>
      </c>
      <c r="P410">
        <f>O410-(O410*M410/100)</f>
        <v>37669.279999999999</v>
      </c>
    </row>
    <row r="411" spans="5:16" x14ac:dyDescent="0.25">
      <c r="E411" s="2">
        <v>10409</v>
      </c>
      <c r="F411" s="8">
        <v>45713</v>
      </c>
      <c r="G411" s="2" t="s">
        <v>31</v>
      </c>
      <c r="H411" s="2" t="s">
        <v>29</v>
      </c>
      <c r="I411" s="2" t="s">
        <v>12</v>
      </c>
      <c r="J411" s="2" t="s">
        <v>22</v>
      </c>
      <c r="K411" s="2">
        <v>5</v>
      </c>
      <c r="L411" s="2">
        <v>2813.73</v>
      </c>
      <c r="M411" s="2">
        <v>15</v>
      </c>
      <c r="N411" s="2" t="s">
        <v>30</v>
      </c>
      <c r="O411">
        <f t="shared" si="6"/>
        <v>14068.65</v>
      </c>
      <c r="P411">
        <f>O411-(O411*M411/100)</f>
        <v>11958.352499999999</v>
      </c>
    </row>
    <row r="412" spans="5:16" x14ac:dyDescent="0.25">
      <c r="E412" s="2">
        <v>10410</v>
      </c>
      <c r="F412" s="8">
        <v>45686</v>
      </c>
      <c r="G412" s="2" t="s">
        <v>54</v>
      </c>
      <c r="H412" s="2" t="s">
        <v>51</v>
      </c>
      <c r="I412" s="2" t="s">
        <v>12</v>
      </c>
      <c r="J412" s="2" t="s">
        <v>33</v>
      </c>
      <c r="K412" s="2">
        <v>16</v>
      </c>
      <c r="L412" s="2">
        <v>401.67</v>
      </c>
      <c r="M412" s="2">
        <v>20</v>
      </c>
      <c r="N412" s="2" t="s">
        <v>23</v>
      </c>
      <c r="O412">
        <f t="shared" si="6"/>
        <v>6426.72</v>
      </c>
      <c r="P412">
        <f>O412-(O412*M412/100)</f>
        <v>5141.3760000000002</v>
      </c>
    </row>
    <row r="413" spans="5:16" x14ac:dyDescent="0.25">
      <c r="E413" s="2">
        <v>10411</v>
      </c>
      <c r="F413" s="8">
        <v>45942</v>
      </c>
      <c r="G413" s="2" t="s">
        <v>10</v>
      </c>
      <c r="H413" s="2" t="s">
        <v>45</v>
      </c>
      <c r="I413" s="2" t="s">
        <v>12</v>
      </c>
      <c r="J413" s="2" t="s">
        <v>33</v>
      </c>
      <c r="K413" s="2">
        <v>12</v>
      </c>
      <c r="L413" s="2">
        <v>2757.96</v>
      </c>
      <c r="M413" s="2">
        <v>0</v>
      </c>
      <c r="N413" s="2" t="s">
        <v>19</v>
      </c>
      <c r="O413">
        <f t="shared" si="6"/>
        <v>33095.520000000004</v>
      </c>
      <c r="P413">
        <f>O413-(O413*M413/100)</f>
        <v>33095.520000000004</v>
      </c>
    </row>
    <row r="414" spans="5:16" x14ac:dyDescent="0.25">
      <c r="E414" s="2">
        <v>10412</v>
      </c>
      <c r="F414" s="8">
        <v>45707</v>
      </c>
      <c r="G414" s="2" t="s">
        <v>20</v>
      </c>
      <c r="H414" s="2" t="s">
        <v>51</v>
      </c>
      <c r="I414" s="2" t="s">
        <v>12</v>
      </c>
      <c r="J414" s="2" t="s">
        <v>33</v>
      </c>
      <c r="K414" s="2">
        <v>7</v>
      </c>
      <c r="L414" s="2">
        <v>1357.72</v>
      </c>
      <c r="M414" s="2">
        <v>20</v>
      </c>
      <c r="N414" s="2" t="s">
        <v>14</v>
      </c>
      <c r="O414">
        <f t="shared" si="6"/>
        <v>9504.0400000000009</v>
      </c>
      <c r="P414">
        <f>O414-(O414*M414/100)</f>
        <v>7603.2320000000009</v>
      </c>
    </row>
    <row r="415" spans="5:16" x14ac:dyDescent="0.25">
      <c r="E415" s="2">
        <v>10413</v>
      </c>
      <c r="F415" s="8">
        <v>45662</v>
      </c>
      <c r="G415" s="2" t="s">
        <v>27</v>
      </c>
      <c r="H415" s="2" t="s">
        <v>21</v>
      </c>
      <c r="I415" s="2" t="s">
        <v>40</v>
      </c>
      <c r="J415" s="2" t="s">
        <v>53</v>
      </c>
      <c r="K415" s="2">
        <v>16</v>
      </c>
      <c r="L415" s="2">
        <v>468</v>
      </c>
      <c r="M415" s="2">
        <v>15</v>
      </c>
      <c r="N415" s="2" t="s">
        <v>26</v>
      </c>
      <c r="O415">
        <f t="shared" si="6"/>
        <v>7488</v>
      </c>
      <c r="P415">
        <f>O415-(O415*M415/100)</f>
        <v>6364.8</v>
      </c>
    </row>
    <row r="416" spans="5:16" x14ac:dyDescent="0.25">
      <c r="E416" s="2">
        <v>10414</v>
      </c>
      <c r="F416" s="8">
        <v>45889</v>
      </c>
      <c r="G416" s="2" t="s">
        <v>32</v>
      </c>
      <c r="H416" s="2" t="s">
        <v>21</v>
      </c>
      <c r="I416" s="2" t="s">
        <v>12</v>
      </c>
      <c r="J416" s="2" t="s">
        <v>33</v>
      </c>
      <c r="K416" s="2">
        <v>4</v>
      </c>
      <c r="L416" s="2">
        <v>2117.8200000000002</v>
      </c>
      <c r="M416" s="2">
        <v>5</v>
      </c>
      <c r="N416" s="2" t="s">
        <v>19</v>
      </c>
      <c r="O416">
        <f t="shared" si="6"/>
        <v>8471.2800000000007</v>
      </c>
      <c r="P416">
        <f>O416-(O416*M416/100)</f>
        <v>8047.7160000000003</v>
      </c>
    </row>
    <row r="417" spans="5:16" x14ac:dyDescent="0.25">
      <c r="E417" s="2">
        <v>10415</v>
      </c>
      <c r="F417" s="8">
        <v>45870</v>
      </c>
      <c r="G417" s="2" t="s">
        <v>39</v>
      </c>
      <c r="H417" s="2" t="s">
        <v>37</v>
      </c>
      <c r="I417" s="2" t="s">
        <v>17</v>
      </c>
      <c r="J417" s="2" t="s">
        <v>55</v>
      </c>
      <c r="K417" s="2">
        <v>20</v>
      </c>
      <c r="L417" s="2">
        <v>3429.67</v>
      </c>
      <c r="M417" s="2">
        <v>0</v>
      </c>
      <c r="N417" s="2" t="s">
        <v>23</v>
      </c>
      <c r="O417">
        <f t="shared" si="6"/>
        <v>68593.399999999994</v>
      </c>
      <c r="P417">
        <f>O417-(O417*M417/100)</f>
        <v>68593.399999999994</v>
      </c>
    </row>
    <row r="418" spans="5:16" x14ac:dyDescent="0.25">
      <c r="E418" s="2">
        <v>10416</v>
      </c>
      <c r="F418" s="8">
        <v>45985</v>
      </c>
      <c r="G418" s="2" t="s">
        <v>43</v>
      </c>
      <c r="H418" s="2" t="s">
        <v>16</v>
      </c>
      <c r="I418" s="2" t="s">
        <v>40</v>
      </c>
      <c r="J418" s="2" t="s">
        <v>53</v>
      </c>
      <c r="K418" s="2">
        <v>4</v>
      </c>
      <c r="L418" s="2">
        <v>461.72</v>
      </c>
      <c r="M418" s="2">
        <v>15</v>
      </c>
      <c r="N418" s="2" t="s">
        <v>30</v>
      </c>
      <c r="O418">
        <f t="shared" si="6"/>
        <v>1846.88</v>
      </c>
      <c r="P418">
        <f>O418-(O418*M418/100)</f>
        <v>1569.8480000000002</v>
      </c>
    </row>
    <row r="419" spans="5:16" x14ac:dyDescent="0.25">
      <c r="E419" s="2">
        <v>10417</v>
      </c>
      <c r="F419" s="8">
        <v>45799</v>
      </c>
      <c r="G419" s="2" t="s">
        <v>10</v>
      </c>
      <c r="H419" s="2" t="s">
        <v>45</v>
      </c>
      <c r="I419" s="2" t="s">
        <v>34</v>
      </c>
      <c r="J419" s="2" t="s">
        <v>44</v>
      </c>
      <c r="K419" s="2">
        <v>19</v>
      </c>
      <c r="L419" s="2">
        <v>3662.3</v>
      </c>
      <c r="M419" s="2">
        <v>10</v>
      </c>
      <c r="N419" s="2" t="s">
        <v>14</v>
      </c>
      <c r="O419">
        <f t="shared" si="6"/>
        <v>69583.7</v>
      </c>
      <c r="P419">
        <f>O419-(O419*M419/100)</f>
        <v>62625.329999999994</v>
      </c>
    </row>
    <row r="420" spans="5:16" x14ac:dyDescent="0.25">
      <c r="E420" s="2">
        <v>10418</v>
      </c>
      <c r="F420" s="8">
        <v>45878</v>
      </c>
      <c r="G420" s="2" t="s">
        <v>27</v>
      </c>
      <c r="H420" s="2" t="s">
        <v>11</v>
      </c>
      <c r="I420" s="2" t="s">
        <v>17</v>
      </c>
      <c r="J420" s="2" t="s">
        <v>28</v>
      </c>
      <c r="K420" s="2">
        <v>10</v>
      </c>
      <c r="L420" s="2">
        <v>4131.0600000000004</v>
      </c>
      <c r="M420" s="2">
        <v>10</v>
      </c>
      <c r="N420" s="2" t="s">
        <v>23</v>
      </c>
      <c r="O420">
        <f t="shared" si="6"/>
        <v>41310.600000000006</v>
      </c>
      <c r="P420">
        <f>O420-(O420*M420/100)</f>
        <v>37179.540000000008</v>
      </c>
    </row>
    <row r="421" spans="5:16" x14ac:dyDescent="0.25">
      <c r="E421" s="2">
        <v>10419</v>
      </c>
      <c r="F421" s="8">
        <v>45917</v>
      </c>
      <c r="G421" s="2" t="s">
        <v>24</v>
      </c>
      <c r="H421" s="2" t="s">
        <v>25</v>
      </c>
      <c r="I421" s="2" t="s">
        <v>34</v>
      </c>
      <c r="J421" s="2" t="s">
        <v>35</v>
      </c>
      <c r="K421" s="2">
        <v>13</v>
      </c>
      <c r="L421" s="2">
        <v>1896.56</v>
      </c>
      <c r="M421" s="2">
        <v>5</v>
      </c>
      <c r="N421" s="2" t="s">
        <v>19</v>
      </c>
      <c r="O421">
        <f t="shared" si="6"/>
        <v>24655.279999999999</v>
      </c>
      <c r="P421">
        <f>O421-(O421*M421/100)</f>
        <v>23422.516</v>
      </c>
    </row>
    <row r="422" spans="5:16" x14ac:dyDescent="0.25">
      <c r="E422" s="2">
        <v>10420</v>
      </c>
      <c r="F422" s="8">
        <v>45738</v>
      </c>
      <c r="G422" s="2" t="s">
        <v>15</v>
      </c>
      <c r="H422" s="2" t="s">
        <v>45</v>
      </c>
      <c r="I422" s="2" t="s">
        <v>12</v>
      </c>
      <c r="J422" s="2" t="s">
        <v>13</v>
      </c>
      <c r="K422" s="2">
        <v>2</v>
      </c>
      <c r="L422" s="2">
        <v>2949.41</v>
      </c>
      <c r="M422" s="2">
        <v>15</v>
      </c>
      <c r="N422" s="2" t="s">
        <v>26</v>
      </c>
      <c r="O422">
        <f t="shared" si="6"/>
        <v>5898.82</v>
      </c>
      <c r="P422">
        <f>O422-(O422*M422/100)</f>
        <v>5013.9969999999994</v>
      </c>
    </row>
    <row r="423" spans="5:16" x14ac:dyDescent="0.25">
      <c r="E423" s="2">
        <v>10421</v>
      </c>
      <c r="F423" s="8">
        <v>45773</v>
      </c>
      <c r="G423" s="2" t="s">
        <v>27</v>
      </c>
      <c r="H423" s="2" t="s">
        <v>11</v>
      </c>
      <c r="I423" s="2" t="s">
        <v>40</v>
      </c>
      <c r="J423" s="2" t="s">
        <v>53</v>
      </c>
      <c r="K423" s="2">
        <v>14</v>
      </c>
      <c r="L423" s="2">
        <v>2572.65</v>
      </c>
      <c r="M423" s="2">
        <v>10</v>
      </c>
      <c r="N423" s="2" t="s">
        <v>30</v>
      </c>
      <c r="O423">
        <f t="shared" si="6"/>
        <v>36017.1</v>
      </c>
      <c r="P423">
        <f>O423-(O423*M423/100)</f>
        <v>32415.39</v>
      </c>
    </row>
    <row r="424" spans="5:16" x14ac:dyDescent="0.25">
      <c r="E424" s="2">
        <v>10422</v>
      </c>
      <c r="F424" s="8">
        <v>45857</v>
      </c>
      <c r="G424" s="2" t="s">
        <v>42</v>
      </c>
      <c r="H424" s="2" t="s">
        <v>16</v>
      </c>
      <c r="I424" s="2" t="s">
        <v>12</v>
      </c>
      <c r="J424" s="2" t="s">
        <v>33</v>
      </c>
      <c r="K424" s="2">
        <v>5</v>
      </c>
      <c r="L424" s="2">
        <v>1646.36</v>
      </c>
      <c r="M424" s="2">
        <v>10</v>
      </c>
      <c r="N424" s="2" t="s">
        <v>30</v>
      </c>
      <c r="O424">
        <f t="shared" si="6"/>
        <v>8231.7999999999993</v>
      </c>
      <c r="P424">
        <f>O424-(O424*M424/100)</f>
        <v>7408.619999999999</v>
      </c>
    </row>
    <row r="425" spans="5:16" x14ac:dyDescent="0.25">
      <c r="E425" s="2">
        <v>10423</v>
      </c>
      <c r="F425" s="8">
        <v>45732</v>
      </c>
      <c r="G425" s="2" t="s">
        <v>10</v>
      </c>
      <c r="H425" s="2" t="s">
        <v>21</v>
      </c>
      <c r="I425" s="2" t="s">
        <v>17</v>
      </c>
      <c r="J425" s="2" t="s">
        <v>36</v>
      </c>
      <c r="K425" s="2">
        <v>8</v>
      </c>
      <c r="L425" s="2">
        <v>1633.88</v>
      </c>
      <c r="M425" s="2">
        <v>10</v>
      </c>
      <c r="N425" s="2" t="s">
        <v>26</v>
      </c>
      <c r="O425">
        <f t="shared" si="6"/>
        <v>13071.04</v>
      </c>
      <c r="P425">
        <f>O425-(O425*M425/100)</f>
        <v>11763.936000000002</v>
      </c>
    </row>
    <row r="426" spans="5:16" x14ac:dyDescent="0.25">
      <c r="E426" s="2">
        <v>10424</v>
      </c>
      <c r="F426" s="8">
        <v>45849</v>
      </c>
      <c r="G426" s="2" t="s">
        <v>42</v>
      </c>
      <c r="H426" s="2" t="s">
        <v>25</v>
      </c>
      <c r="I426" s="2" t="s">
        <v>17</v>
      </c>
      <c r="J426" s="2" t="s">
        <v>55</v>
      </c>
      <c r="K426" s="2">
        <v>6</v>
      </c>
      <c r="L426" s="2">
        <v>3898.12</v>
      </c>
      <c r="M426" s="2">
        <v>0</v>
      </c>
      <c r="N426" s="2" t="s">
        <v>30</v>
      </c>
      <c r="O426">
        <f t="shared" si="6"/>
        <v>23388.720000000001</v>
      </c>
      <c r="P426">
        <f>O426-(O426*M426/100)</f>
        <v>23388.720000000001</v>
      </c>
    </row>
    <row r="427" spans="5:16" x14ac:dyDescent="0.25">
      <c r="E427" s="2">
        <v>10425</v>
      </c>
      <c r="F427" s="8">
        <v>45719</v>
      </c>
      <c r="G427" s="2" t="s">
        <v>10</v>
      </c>
      <c r="H427" s="2" t="s">
        <v>51</v>
      </c>
      <c r="I427" s="2" t="s">
        <v>34</v>
      </c>
      <c r="J427" s="2" t="s">
        <v>50</v>
      </c>
      <c r="K427" s="2">
        <v>2</v>
      </c>
      <c r="L427" s="2">
        <v>3971.77</v>
      </c>
      <c r="M427" s="2">
        <v>20</v>
      </c>
      <c r="N427" s="2" t="s">
        <v>26</v>
      </c>
      <c r="O427">
        <f t="shared" si="6"/>
        <v>7943.54</v>
      </c>
      <c r="P427">
        <f>O427-(O427*M427/100)</f>
        <v>6354.8320000000003</v>
      </c>
    </row>
    <row r="428" spans="5:16" x14ac:dyDescent="0.25">
      <c r="E428" s="2">
        <v>10426</v>
      </c>
      <c r="F428" s="8">
        <v>45837</v>
      </c>
      <c r="G428" s="2" t="s">
        <v>32</v>
      </c>
      <c r="H428" s="2" t="s">
        <v>47</v>
      </c>
      <c r="I428" s="2" t="s">
        <v>40</v>
      </c>
      <c r="J428" s="2" t="s">
        <v>49</v>
      </c>
      <c r="K428" s="2">
        <v>14</v>
      </c>
      <c r="L428" s="2">
        <v>4935.6099999999997</v>
      </c>
      <c r="M428" s="2">
        <v>0</v>
      </c>
      <c r="N428" s="2" t="s">
        <v>23</v>
      </c>
      <c r="O428">
        <f t="shared" si="6"/>
        <v>69098.539999999994</v>
      </c>
      <c r="P428">
        <f>O428-(O428*M428/100)</f>
        <v>69098.539999999994</v>
      </c>
    </row>
    <row r="429" spans="5:16" x14ac:dyDescent="0.25">
      <c r="E429" s="2">
        <v>10427</v>
      </c>
      <c r="F429" s="8">
        <v>45748</v>
      </c>
      <c r="G429" s="2" t="s">
        <v>54</v>
      </c>
      <c r="H429" s="2" t="s">
        <v>29</v>
      </c>
      <c r="I429" s="2" t="s">
        <v>12</v>
      </c>
      <c r="J429" s="2" t="s">
        <v>56</v>
      </c>
      <c r="K429" s="2">
        <v>10</v>
      </c>
      <c r="L429" s="2">
        <v>3352.42</v>
      </c>
      <c r="M429" s="2">
        <v>10</v>
      </c>
      <c r="N429" s="2" t="s">
        <v>14</v>
      </c>
      <c r="O429">
        <f t="shared" si="6"/>
        <v>33524.199999999997</v>
      </c>
      <c r="P429">
        <f>O429-(O429*M429/100)</f>
        <v>30171.78</v>
      </c>
    </row>
    <row r="430" spans="5:16" x14ac:dyDescent="0.25">
      <c r="E430" s="2">
        <v>10428</v>
      </c>
      <c r="F430" s="8">
        <v>46001</v>
      </c>
      <c r="G430" s="2" t="s">
        <v>15</v>
      </c>
      <c r="H430" s="2" t="s">
        <v>11</v>
      </c>
      <c r="I430" s="2" t="s">
        <v>40</v>
      </c>
      <c r="J430" s="2" t="s">
        <v>53</v>
      </c>
      <c r="K430" s="2">
        <v>17</v>
      </c>
      <c r="L430" s="2">
        <v>566.38</v>
      </c>
      <c r="M430" s="2">
        <v>15</v>
      </c>
      <c r="N430" s="2" t="s">
        <v>26</v>
      </c>
      <c r="O430">
        <f t="shared" si="6"/>
        <v>9628.4599999999991</v>
      </c>
      <c r="P430">
        <f>O430-(O430*M430/100)</f>
        <v>8184.1909999999989</v>
      </c>
    </row>
    <row r="431" spans="5:16" x14ac:dyDescent="0.25">
      <c r="E431" s="2">
        <v>10429</v>
      </c>
      <c r="F431" s="8">
        <v>45863</v>
      </c>
      <c r="G431" s="2" t="s">
        <v>15</v>
      </c>
      <c r="H431" s="2" t="s">
        <v>16</v>
      </c>
      <c r="I431" s="2" t="s">
        <v>40</v>
      </c>
      <c r="J431" s="2" t="s">
        <v>41</v>
      </c>
      <c r="K431" s="2">
        <v>1</v>
      </c>
      <c r="L431" s="2">
        <v>2821.46</v>
      </c>
      <c r="M431" s="2">
        <v>15</v>
      </c>
      <c r="N431" s="2" t="s">
        <v>14</v>
      </c>
      <c r="O431">
        <f t="shared" si="6"/>
        <v>2821.46</v>
      </c>
      <c r="P431">
        <f>O431-(O431*M431/100)</f>
        <v>2398.241</v>
      </c>
    </row>
    <row r="432" spans="5:16" x14ac:dyDescent="0.25">
      <c r="E432" s="2">
        <v>10430</v>
      </c>
      <c r="F432" s="8">
        <v>45828</v>
      </c>
      <c r="G432" s="2" t="s">
        <v>15</v>
      </c>
      <c r="H432" s="2" t="s">
        <v>37</v>
      </c>
      <c r="I432" s="2" t="s">
        <v>17</v>
      </c>
      <c r="J432" s="2" t="s">
        <v>28</v>
      </c>
      <c r="K432" s="2">
        <v>18</v>
      </c>
      <c r="L432" s="2">
        <v>110.65</v>
      </c>
      <c r="M432" s="2">
        <v>5</v>
      </c>
      <c r="N432" s="2" t="s">
        <v>26</v>
      </c>
      <c r="O432">
        <f t="shared" si="6"/>
        <v>1991.7</v>
      </c>
      <c r="P432">
        <f>O432-(O432*M432/100)</f>
        <v>1892.115</v>
      </c>
    </row>
    <row r="433" spans="5:16" x14ac:dyDescent="0.25">
      <c r="E433" s="2">
        <v>10431</v>
      </c>
      <c r="F433" s="8">
        <v>45866</v>
      </c>
      <c r="G433" s="2" t="s">
        <v>20</v>
      </c>
      <c r="H433" s="2" t="s">
        <v>47</v>
      </c>
      <c r="I433" s="2" t="s">
        <v>17</v>
      </c>
      <c r="J433" s="2" t="s">
        <v>36</v>
      </c>
      <c r="K433" s="2">
        <v>10</v>
      </c>
      <c r="L433" s="2">
        <v>1757.27</v>
      </c>
      <c r="M433" s="2">
        <v>10</v>
      </c>
      <c r="N433" s="2" t="s">
        <v>30</v>
      </c>
      <c r="O433">
        <f t="shared" si="6"/>
        <v>17572.7</v>
      </c>
      <c r="P433">
        <f>O433-(O433*M433/100)</f>
        <v>15815.43</v>
      </c>
    </row>
    <row r="434" spans="5:16" x14ac:dyDescent="0.25">
      <c r="E434" s="2">
        <v>10432</v>
      </c>
      <c r="F434" s="8">
        <v>45750</v>
      </c>
      <c r="G434" s="2" t="s">
        <v>39</v>
      </c>
      <c r="H434" s="2" t="s">
        <v>16</v>
      </c>
      <c r="I434" s="2" t="s">
        <v>17</v>
      </c>
      <c r="J434" s="2" t="s">
        <v>36</v>
      </c>
      <c r="K434" s="2">
        <v>2</v>
      </c>
      <c r="L434" s="2">
        <v>984.23</v>
      </c>
      <c r="M434" s="2">
        <v>15</v>
      </c>
      <c r="N434" s="2" t="s">
        <v>23</v>
      </c>
      <c r="O434">
        <f t="shared" si="6"/>
        <v>1968.46</v>
      </c>
      <c r="P434">
        <f>O434-(O434*M434/100)</f>
        <v>1673.191</v>
      </c>
    </row>
    <row r="435" spans="5:16" x14ac:dyDescent="0.25">
      <c r="E435" s="2">
        <v>10433</v>
      </c>
      <c r="F435" s="8">
        <v>45983</v>
      </c>
      <c r="G435" s="2" t="s">
        <v>31</v>
      </c>
      <c r="H435" s="2" t="s">
        <v>29</v>
      </c>
      <c r="I435" s="2" t="s">
        <v>34</v>
      </c>
      <c r="J435" s="2" t="s">
        <v>38</v>
      </c>
      <c r="K435" s="2">
        <v>4</v>
      </c>
      <c r="L435" s="2">
        <v>4356.88</v>
      </c>
      <c r="M435" s="2">
        <v>0</v>
      </c>
      <c r="N435" s="2" t="s">
        <v>30</v>
      </c>
      <c r="O435">
        <f t="shared" si="6"/>
        <v>17427.52</v>
      </c>
      <c r="P435">
        <f>O435-(O435*M435/100)</f>
        <v>17427.52</v>
      </c>
    </row>
    <row r="436" spans="5:16" x14ac:dyDescent="0.25">
      <c r="E436" s="2">
        <v>10434</v>
      </c>
      <c r="F436" s="8">
        <v>45791</v>
      </c>
      <c r="G436" s="2" t="s">
        <v>32</v>
      </c>
      <c r="H436" s="2" t="s">
        <v>37</v>
      </c>
      <c r="I436" s="2" t="s">
        <v>40</v>
      </c>
      <c r="J436" s="2" t="s">
        <v>53</v>
      </c>
      <c r="K436" s="2">
        <v>12</v>
      </c>
      <c r="L436" s="2">
        <v>4797.13</v>
      </c>
      <c r="M436" s="2">
        <v>20</v>
      </c>
      <c r="N436" s="2" t="s">
        <v>26</v>
      </c>
      <c r="O436">
        <f t="shared" si="6"/>
        <v>57565.56</v>
      </c>
      <c r="P436">
        <f>O436-(O436*M436/100)</f>
        <v>46052.447999999997</v>
      </c>
    </row>
    <row r="437" spans="5:16" x14ac:dyDescent="0.25">
      <c r="E437" s="2">
        <v>10435</v>
      </c>
      <c r="F437" s="8">
        <v>45990</v>
      </c>
      <c r="G437" s="2" t="s">
        <v>43</v>
      </c>
      <c r="H437" s="2" t="s">
        <v>52</v>
      </c>
      <c r="I437" s="2" t="s">
        <v>12</v>
      </c>
      <c r="J437" s="2" t="s">
        <v>33</v>
      </c>
      <c r="K437" s="2">
        <v>4</v>
      </c>
      <c r="L437" s="2">
        <v>4055</v>
      </c>
      <c r="M437" s="2">
        <v>20</v>
      </c>
      <c r="N437" s="2" t="s">
        <v>14</v>
      </c>
      <c r="O437">
        <f t="shared" si="6"/>
        <v>16220</v>
      </c>
      <c r="P437">
        <f>O437-(O437*M437/100)</f>
        <v>12976</v>
      </c>
    </row>
    <row r="438" spans="5:16" x14ac:dyDescent="0.25">
      <c r="E438" s="2">
        <v>10436</v>
      </c>
      <c r="F438" s="8">
        <v>45907</v>
      </c>
      <c r="G438" s="2" t="s">
        <v>27</v>
      </c>
      <c r="H438" s="2" t="s">
        <v>16</v>
      </c>
      <c r="I438" s="2" t="s">
        <v>40</v>
      </c>
      <c r="J438" s="2" t="s">
        <v>41</v>
      </c>
      <c r="K438" s="2">
        <v>15</v>
      </c>
      <c r="L438" s="2">
        <v>1551.63</v>
      </c>
      <c r="M438" s="2">
        <v>15</v>
      </c>
      <c r="N438" s="2" t="s">
        <v>23</v>
      </c>
      <c r="O438">
        <f t="shared" si="6"/>
        <v>23274.45</v>
      </c>
      <c r="P438">
        <f>O438-(O438*M438/100)</f>
        <v>19783.282500000001</v>
      </c>
    </row>
    <row r="439" spans="5:16" x14ac:dyDescent="0.25">
      <c r="E439" s="2">
        <v>10437</v>
      </c>
      <c r="F439" s="8">
        <v>45730</v>
      </c>
      <c r="G439" s="2" t="s">
        <v>39</v>
      </c>
      <c r="H439" s="2" t="s">
        <v>29</v>
      </c>
      <c r="I439" s="2" t="s">
        <v>12</v>
      </c>
      <c r="J439" s="2" t="s">
        <v>13</v>
      </c>
      <c r="K439" s="2">
        <v>11</v>
      </c>
      <c r="L439" s="2">
        <v>895.42</v>
      </c>
      <c r="M439" s="2">
        <v>10</v>
      </c>
      <c r="N439" s="2" t="s">
        <v>26</v>
      </c>
      <c r="O439">
        <f t="shared" si="6"/>
        <v>9849.619999999999</v>
      </c>
      <c r="P439">
        <f>O439-(O439*M439/100)</f>
        <v>8864.6579999999994</v>
      </c>
    </row>
    <row r="440" spans="5:16" x14ac:dyDescent="0.25">
      <c r="E440" s="2">
        <v>10438</v>
      </c>
      <c r="F440" s="8">
        <v>45799</v>
      </c>
      <c r="G440" s="2" t="s">
        <v>10</v>
      </c>
      <c r="H440" s="2" t="s">
        <v>16</v>
      </c>
      <c r="I440" s="2" t="s">
        <v>34</v>
      </c>
      <c r="J440" s="2" t="s">
        <v>50</v>
      </c>
      <c r="K440" s="2">
        <v>11</v>
      </c>
      <c r="L440" s="2">
        <v>4931.04</v>
      </c>
      <c r="M440" s="2">
        <v>5</v>
      </c>
      <c r="N440" s="2" t="s">
        <v>26</v>
      </c>
      <c r="O440">
        <f t="shared" si="6"/>
        <v>54241.440000000002</v>
      </c>
      <c r="P440">
        <f>O440-(O440*M440/100)</f>
        <v>51529.368000000002</v>
      </c>
    </row>
    <row r="441" spans="5:16" x14ac:dyDescent="0.25">
      <c r="E441" s="2">
        <v>10439</v>
      </c>
      <c r="F441" s="8">
        <v>45864</v>
      </c>
      <c r="G441" s="2" t="s">
        <v>43</v>
      </c>
      <c r="H441" s="2" t="s">
        <v>29</v>
      </c>
      <c r="I441" s="2" t="s">
        <v>40</v>
      </c>
      <c r="J441" s="2" t="s">
        <v>53</v>
      </c>
      <c r="K441" s="2">
        <v>4</v>
      </c>
      <c r="L441" s="2">
        <v>3845.08</v>
      </c>
      <c r="M441" s="2">
        <v>15</v>
      </c>
      <c r="N441" s="2" t="s">
        <v>26</v>
      </c>
      <c r="O441">
        <f t="shared" si="6"/>
        <v>15380.32</v>
      </c>
      <c r="P441">
        <f>O441-(O441*M441/100)</f>
        <v>13073.272000000001</v>
      </c>
    </row>
    <row r="442" spans="5:16" x14ac:dyDescent="0.25">
      <c r="E442" s="2">
        <v>10440</v>
      </c>
      <c r="F442" s="8">
        <v>45687</v>
      </c>
      <c r="G442" s="2" t="s">
        <v>15</v>
      </c>
      <c r="H442" s="2" t="s">
        <v>16</v>
      </c>
      <c r="I442" s="2" t="s">
        <v>34</v>
      </c>
      <c r="J442" s="2" t="s">
        <v>35</v>
      </c>
      <c r="K442" s="2">
        <v>15</v>
      </c>
      <c r="L442" s="2">
        <v>3592.86</v>
      </c>
      <c r="M442" s="2">
        <v>5</v>
      </c>
      <c r="N442" s="2" t="s">
        <v>30</v>
      </c>
      <c r="O442">
        <f t="shared" si="6"/>
        <v>53892.9</v>
      </c>
      <c r="P442">
        <f>O442-(O442*M442/100)</f>
        <v>51198.255000000005</v>
      </c>
    </row>
    <row r="443" spans="5:16" x14ac:dyDescent="0.25">
      <c r="E443" s="2">
        <v>10441</v>
      </c>
      <c r="F443" s="8">
        <v>45806</v>
      </c>
      <c r="G443" s="2" t="s">
        <v>54</v>
      </c>
      <c r="H443" s="2" t="s">
        <v>29</v>
      </c>
      <c r="I443" s="2" t="s">
        <v>40</v>
      </c>
      <c r="J443" s="2" t="s">
        <v>46</v>
      </c>
      <c r="K443" s="2">
        <v>9</v>
      </c>
      <c r="L443" s="2">
        <v>3081.51</v>
      </c>
      <c r="M443" s="2">
        <v>10</v>
      </c>
      <c r="N443" s="2" t="s">
        <v>14</v>
      </c>
      <c r="O443">
        <f t="shared" si="6"/>
        <v>27733.590000000004</v>
      </c>
      <c r="P443">
        <f>O443-(O443*M443/100)</f>
        <v>24960.231000000003</v>
      </c>
    </row>
    <row r="444" spans="5:16" x14ac:dyDescent="0.25">
      <c r="E444" s="2">
        <v>10442</v>
      </c>
      <c r="F444" s="8">
        <v>45856</v>
      </c>
      <c r="G444" s="2" t="s">
        <v>10</v>
      </c>
      <c r="H444" s="2" t="s">
        <v>16</v>
      </c>
      <c r="I444" s="2" t="s">
        <v>12</v>
      </c>
      <c r="J444" s="2" t="s">
        <v>13</v>
      </c>
      <c r="K444" s="2">
        <v>6</v>
      </c>
      <c r="L444" s="2">
        <v>1901.36</v>
      </c>
      <c r="M444" s="2">
        <v>20</v>
      </c>
      <c r="N444" s="2" t="s">
        <v>19</v>
      </c>
      <c r="O444">
        <f t="shared" si="6"/>
        <v>11408.16</v>
      </c>
      <c r="P444">
        <f>O444-(O444*M444/100)</f>
        <v>9126.5280000000002</v>
      </c>
    </row>
    <row r="445" spans="5:16" x14ac:dyDescent="0.25">
      <c r="E445" s="2">
        <v>10443</v>
      </c>
      <c r="F445" s="8">
        <v>45838</v>
      </c>
      <c r="G445" s="2" t="s">
        <v>48</v>
      </c>
      <c r="H445" s="2" t="s">
        <v>29</v>
      </c>
      <c r="I445" s="2" t="s">
        <v>17</v>
      </c>
      <c r="J445" s="2" t="s">
        <v>28</v>
      </c>
      <c r="K445" s="2">
        <v>1</v>
      </c>
      <c r="L445" s="2">
        <v>2693.58</v>
      </c>
      <c r="M445" s="2">
        <v>10</v>
      </c>
      <c r="N445" s="2" t="s">
        <v>23</v>
      </c>
      <c r="O445">
        <f t="shared" si="6"/>
        <v>2693.58</v>
      </c>
      <c r="P445">
        <f>O445-(O445*M445/100)</f>
        <v>2424.2219999999998</v>
      </c>
    </row>
    <row r="446" spans="5:16" x14ac:dyDescent="0.25">
      <c r="E446" s="2">
        <v>10444</v>
      </c>
      <c r="F446" s="8">
        <v>45712</v>
      </c>
      <c r="G446" s="2" t="s">
        <v>54</v>
      </c>
      <c r="H446" s="2" t="s">
        <v>25</v>
      </c>
      <c r="I446" s="2" t="s">
        <v>17</v>
      </c>
      <c r="J446" s="2" t="s">
        <v>18</v>
      </c>
      <c r="K446" s="2">
        <v>18</v>
      </c>
      <c r="L446" s="2">
        <v>1294.68</v>
      </c>
      <c r="M446" s="2">
        <v>15</v>
      </c>
      <c r="N446" s="2" t="s">
        <v>19</v>
      </c>
      <c r="O446">
        <f t="shared" si="6"/>
        <v>23304.240000000002</v>
      </c>
      <c r="P446">
        <f>O446-(O446*M446/100)</f>
        <v>19808.603999999999</v>
      </c>
    </row>
    <row r="447" spans="5:16" x14ac:dyDescent="0.25">
      <c r="E447" s="2">
        <v>10445</v>
      </c>
      <c r="F447" s="8">
        <v>45773</v>
      </c>
      <c r="G447" s="2" t="s">
        <v>54</v>
      </c>
      <c r="H447" s="2" t="s">
        <v>45</v>
      </c>
      <c r="I447" s="2" t="s">
        <v>34</v>
      </c>
      <c r="J447" s="2" t="s">
        <v>35</v>
      </c>
      <c r="K447" s="2">
        <v>2</v>
      </c>
      <c r="L447" s="2">
        <v>806.75</v>
      </c>
      <c r="M447" s="2">
        <v>0</v>
      </c>
      <c r="N447" s="2" t="s">
        <v>26</v>
      </c>
      <c r="O447">
        <f t="shared" si="6"/>
        <v>1613.5</v>
      </c>
      <c r="P447">
        <f>O447-(O447*M447/100)</f>
        <v>1613.5</v>
      </c>
    </row>
    <row r="448" spans="5:16" x14ac:dyDescent="0.25">
      <c r="E448" s="2">
        <v>10446</v>
      </c>
      <c r="F448" s="8">
        <v>45771</v>
      </c>
      <c r="G448" s="2" t="s">
        <v>39</v>
      </c>
      <c r="H448" s="2" t="s">
        <v>21</v>
      </c>
      <c r="I448" s="2" t="s">
        <v>34</v>
      </c>
      <c r="J448" s="2" t="s">
        <v>50</v>
      </c>
      <c r="K448" s="2">
        <v>10</v>
      </c>
      <c r="L448" s="2">
        <v>1898.55</v>
      </c>
      <c r="M448" s="2">
        <v>5</v>
      </c>
      <c r="N448" s="2" t="s">
        <v>19</v>
      </c>
      <c r="O448">
        <f t="shared" si="6"/>
        <v>18985.5</v>
      </c>
      <c r="P448">
        <f>O448-(O448*M448/100)</f>
        <v>18036.224999999999</v>
      </c>
    </row>
    <row r="449" spans="5:16" x14ac:dyDescent="0.25">
      <c r="E449" s="2">
        <v>10447</v>
      </c>
      <c r="F449" s="8">
        <v>45664</v>
      </c>
      <c r="G449" s="2" t="s">
        <v>54</v>
      </c>
      <c r="H449" s="2" t="s">
        <v>16</v>
      </c>
      <c r="I449" s="2" t="s">
        <v>17</v>
      </c>
      <c r="J449" s="2" t="s">
        <v>18</v>
      </c>
      <c r="K449" s="2">
        <v>18</v>
      </c>
      <c r="L449" s="2">
        <v>1898.32</v>
      </c>
      <c r="M449" s="2">
        <v>10</v>
      </c>
      <c r="N449" s="2" t="s">
        <v>26</v>
      </c>
      <c r="O449">
        <f t="shared" si="6"/>
        <v>34169.760000000002</v>
      </c>
      <c r="P449">
        <f>O449-(O449*M449/100)</f>
        <v>30752.784</v>
      </c>
    </row>
    <row r="450" spans="5:16" x14ac:dyDescent="0.25">
      <c r="E450" s="2">
        <v>10448</v>
      </c>
      <c r="F450" s="8">
        <v>45808</v>
      </c>
      <c r="G450" s="2" t="s">
        <v>39</v>
      </c>
      <c r="H450" s="2" t="s">
        <v>45</v>
      </c>
      <c r="I450" s="2" t="s">
        <v>17</v>
      </c>
      <c r="J450" s="2" t="s">
        <v>55</v>
      </c>
      <c r="K450" s="2">
        <v>4</v>
      </c>
      <c r="L450" s="2">
        <v>1467.78</v>
      </c>
      <c r="M450" s="2">
        <v>20</v>
      </c>
      <c r="N450" s="2" t="s">
        <v>23</v>
      </c>
      <c r="O450">
        <f t="shared" si="6"/>
        <v>5871.12</v>
      </c>
      <c r="P450">
        <f>O450-(O450*M450/100)</f>
        <v>4696.8959999999997</v>
      </c>
    </row>
    <row r="451" spans="5:16" x14ac:dyDescent="0.25">
      <c r="E451" s="2">
        <v>10449</v>
      </c>
      <c r="F451" s="8">
        <v>45920</v>
      </c>
      <c r="G451" s="2" t="s">
        <v>15</v>
      </c>
      <c r="H451" s="2" t="s">
        <v>37</v>
      </c>
      <c r="I451" s="2" t="s">
        <v>12</v>
      </c>
      <c r="J451" s="2" t="s">
        <v>22</v>
      </c>
      <c r="K451" s="2">
        <v>15</v>
      </c>
      <c r="L451" s="2">
        <v>4612.1000000000004</v>
      </c>
      <c r="M451" s="2">
        <v>5</v>
      </c>
      <c r="N451" s="2" t="s">
        <v>30</v>
      </c>
      <c r="O451">
        <f t="shared" si="6"/>
        <v>69181.5</v>
      </c>
      <c r="P451">
        <f>O451-(O451*M451/100)</f>
        <v>65722.425000000003</v>
      </c>
    </row>
    <row r="452" spans="5:16" x14ac:dyDescent="0.25">
      <c r="E452" s="2">
        <v>10450</v>
      </c>
      <c r="F452" s="8">
        <v>45993</v>
      </c>
      <c r="G452" s="2" t="s">
        <v>24</v>
      </c>
      <c r="H452" s="2" t="s">
        <v>37</v>
      </c>
      <c r="I452" s="2" t="s">
        <v>12</v>
      </c>
      <c r="J452" s="2" t="s">
        <v>56</v>
      </c>
      <c r="K452" s="2">
        <v>12</v>
      </c>
      <c r="L452" s="2">
        <v>3881.19</v>
      </c>
      <c r="M452" s="2">
        <v>15</v>
      </c>
      <c r="N452" s="2" t="s">
        <v>23</v>
      </c>
      <c r="O452">
        <f t="shared" ref="O452:O502" si="7">K452*L452</f>
        <v>46574.28</v>
      </c>
      <c r="P452">
        <f>O452-(O452*M452/100)</f>
        <v>39588.137999999999</v>
      </c>
    </row>
    <row r="453" spans="5:16" x14ac:dyDescent="0.25">
      <c r="E453" s="2">
        <v>10451</v>
      </c>
      <c r="F453" s="8">
        <v>45662</v>
      </c>
      <c r="G453" s="2" t="s">
        <v>10</v>
      </c>
      <c r="H453" s="2" t="s">
        <v>52</v>
      </c>
      <c r="I453" s="2" t="s">
        <v>34</v>
      </c>
      <c r="J453" s="2" t="s">
        <v>50</v>
      </c>
      <c r="K453" s="2">
        <v>1</v>
      </c>
      <c r="L453" s="2">
        <v>4369.43</v>
      </c>
      <c r="M453" s="2">
        <v>15</v>
      </c>
      <c r="N453" s="2" t="s">
        <v>14</v>
      </c>
      <c r="O453">
        <f t="shared" si="7"/>
        <v>4369.43</v>
      </c>
      <c r="P453">
        <f>O453-(O453*M453/100)</f>
        <v>3714.0155000000004</v>
      </c>
    </row>
    <row r="454" spans="5:16" x14ac:dyDescent="0.25">
      <c r="E454" s="2">
        <v>10452</v>
      </c>
      <c r="F454" s="8">
        <v>45983</v>
      </c>
      <c r="G454" s="2" t="s">
        <v>10</v>
      </c>
      <c r="H454" s="2" t="s">
        <v>45</v>
      </c>
      <c r="I454" s="2" t="s">
        <v>34</v>
      </c>
      <c r="J454" s="2" t="s">
        <v>35</v>
      </c>
      <c r="K454" s="2">
        <v>20</v>
      </c>
      <c r="L454" s="2">
        <v>3583.32</v>
      </c>
      <c r="M454" s="2">
        <v>20</v>
      </c>
      <c r="N454" s="2" t="s">
        <v>23</v>
      </c>
      <c r="O454">
        <f t="shared" si="7"/>
        <v>71666.400000000009</v>
      </c>
      <c r="P454">
        <f>O454-(O454*M454/100)</f>
        <v>57333.12000000001</v>
      </c>
    </row>
    <row r="455" spans="5:16" x14ac:dyDescent="0.25">
      <c r="E455" s="2">
        <v>10453</v>
      </c>
      <c r="F455" s="8">
        <v>45824</v>
      </c>
      <c r="G455" s="2" t="s">
        <v>27</v>
      </c>
      <c r="H455" s="2" t="s">
        <v>25</v>
      </c>
      <c r="I455" s="2" t="s">
        <v>12</v>
      </c>
      <c r="J455" s="2" t="s">
        <v>33</v>
      </c>
      <c r="K455" s="2">
        <v>15</v>
      </c>
      <c r="L455" s="2">
        <v>4795.13</v>
      </c>
      <c r="M455" s="2">
        <v>0</v>
      </c>
      <c r="N455" s="2" t="s">
        <v>26</v>
      </c>
      <c r="O455">
        <f t="shared" si="7"/>
        <v>71926.95</v>
      </c>
      <c r="P455">
        <f>O455-(O455*M455/100)</f>
        <v>71926.95</v>
      </c>
    </row>
    <row r="456" spans="5:16" x14ac:dyDescent="0.25">
      <c r="E456" s="2">
        <v>10454</v>
      </c>
      <c r="F456" s="8">
        <v>45672</v>
      </c>
      <c r="G456" s="2" t="s">
        <v>15</v>
      </c>
      <c r="H456" s="2" t="s">
        <v>29</v>
      </c>
      <c r="I456" s="2" t="s">
        <v>12</v>
      </c>
      <c r="J456" s="2" t="s">
        <v>33</v>
      </c>
      <c r="K456" s="2">
        <v>18</v>
      </c>
      <c r="L456" s="2">
        <v>4083.83</v>
      </c>
      <c r="M456" s="2">
        <v>0</v>
      </c>
      <c r="N456" s="2" t="s">
        <v>14</v>
      </c>
      <c r="O456">
        <f t="shared" si="7"/>
        <v>73508.94</v>
      </c>
      <c r="P456">
        <f>O456-(O456*M456/100)</f>
        <v>73508.94</v>
      </c>
    </row>
    <row r="457" spans="5:16" x14ac:dyDescent="0.25">
      <c r="E457" s="2">
        <v>10455</v>
      </c>
      <c r="F457" s="8">
        <v>45842</v>
      </c>
      <c r="G457" s="2" t="s">
        <v>32</v>
      </c>
      <c r="H457" s="2" t="s">
        <v>52</v>
      </c>
      <c r="I457" s="2" t="s">
        <v>12</v>
      </c>
      <c r="J457" s="2" t="s">
        <v>22</v>
      </c>
      <c r="K457" s="2">
        <v>19</v>
      </c>
      <c r="L457" s="2">
        <v>2076.7800000000002</v>
      </c>
      <c r="M457" s="2">
        <v>20</v>
      </c>
      <c r="N457" s="2" t="s">
        <v>30</v>
      </c>
      <c r="O457">
        <f t="shared" si="7"/>
        <v>39458.820000000007</v>
      </c>
      <c r="P457">
        <f>O457-(O457*M457/100)</f>
        <v>31567.056000000004</v>
      </c>
    </row>
    <row r="458" spans="5:16" x14ac:dyDescent="0.25">
      <c r="E458" s="2">
        <v>10456</v>
      </c>
      <c r="F458" s="8">
        <v>45873</v>
      </c>
      <c r="G458" s="2" t="s">
        <v>39</v>
      </c>
      <c r="H458" s="2" t="s">
        <v>52</v>
      </c>
      <c r="I458" s="2" t="s">
        <v>17</v>
      </c>
      <c r="J458" s="2" t="s">
        <v>55</v>
      </c>
      <c r="K458" s="2">
        <v>5</v>
      </c>
      <c r="L458" s="2">
        <v>4830.22</v>
      </c>
      <c r="M458" s="2">
        <v>20</v>
      </c>
      <c r="N458" s="2" t="s">
        <v>26</v>
      </c>
      <c r="O458">
        <f t="shared" si="7"/>
        <v>24151.100000000002</v>
      </c>
      <c r="P458">
        <f>O458-(O458*M458/100)</f>
        <v>19320.88</v>
      </c>
    </row>
    <row r="459" spans="5:16" x14ac:dyDescent="0.25">
      <c r="E459" s="2">
        <v>10457</v>
      </c>
      <c r="F459" s="8">
        <v>45780</v>
      </c>
      <c r="G459" s="2" t="s">
        <v>24</v>
      </c>
      <c r="H459" s="2" t="s">
        <v>52</v>
      </c>
      <c r="I459" s="2" t="s">
        <v>34</v>
      </c>
      <c r="J459" s="2" t="s">
        <v>50</v>
      </c>
      <c r="K459" s="2">
        <v>4</v>
      </c>
      <c r="L459" s="2">
        <v>3496.85</v>
      </c>
      <c r="M459" s="2">
        <v>5</v>
      </c>
      <c r="N459" s="2" t="s">
        <v>14</v>
      </c>
      <c r="O459">
        <f t="shared" si="7"/>
        <v>13987.4</v>
      </c>
      <c r="P459">
        <f>O459-(O459*M459/100)</f>
        <v>13288.029999999999</v>
      </c>
    </row>
    <row r="460" spans="5:16" x14ac:dyDescent="0.25">
      <c r="E460" s="2">
        <v>10458</v>
      </c>
      <c r="F460" s="8">
        <v>45798</v>
      </c>
      <c r="G460" s="2" t="s">
        <v>54</v>
      </c>
      <c r="H460" s="2" t="s">
        <v>52</v>
      </c>
      <c r="I460" s="2" t="s">
        <v>17</v>
      </c>
      <c r="J460" s="2" t="s">
        <v>36</v>
      </c>
      <c r="K460" s="2">
        <v>17</v>
      </c>
      <c r="L460" s="2">
        <v>3307.06</v>
      </c>
      <c r="M460" s="2">
        <v>0</v>
      </c>
      <c r="N460" s="2" t="s">
        <v>30</v>
      </c>
      <c r="O460">
        <f t="shared" si="7"/>
        <v>56220.02</v>
      </c>
      <c r="P460">
        <f>O460-(O460*M460/100)</f>
        <v>56220.02</v>
      </c>
    </row>
    <row r="461" spans="5:16" x14ac:dyDescent="0.25">
      <c r="E461" s="2">
        <v>10459</v>
      </c>
      <c r="F461" s="8">
        <v>45940</v>
      </c>
      <c r="G461" s="2" t="s">
        <v>24</v>
      </c>
      <c r="H461" s="2" t="s">
        <v>51</v>
      </c>
      <c r="I461" s="2" t="s">
        <v>34</v>
      </c>
      <c r="J461" s="2" t="s">
        <v>44</v>
      </c>
      <c r="K461" s="2">
        <v>12</v>
      </c>
      <c r="L461" s="2">
        <v>2142.9299999999998</v>
      </c>
      <c r="M461" s="2">
        <v>15</v>
      </c>
      <c r="N461" s="2" t="s">
        <v>26</v>
      </c>
      <c r="O461">
        <f t="shared" si="7"/>
        <v>25715.159999999996</v>
      </c>
      <c r="P461">
        <f>O461-(O461*M461/100)</f>
        <v>21857.885999999999</v>
      </c>
    </row>
    <row r="462" spans="5:16" x14ac:dyDescent="0.25">
      <c r="E462" s="2">
        <v>10460</v>
      </c>
      <c r="F462" s="8">
        <v>45775</v>
      </c>
      <c r="G462" s="2" t="s">
        <v>15</v>
      </c>
      <c r="H462" s="2" t="s">
        <v>47</v>
      </c>
      <c r="I462" s="2" t="s">
        <v>12</v>
      </c>
      <c r="J462" s="2" t="s">
        <v>33</v>
      </c>
      <c r="K462" s="2">
        <v>1</v>
      </c>
      <c r="L462" s="2">
        <v>1722.74</v>
      </c>
      <c r="M462" s="2">
        <v>20</v>
      </c>
      <c r="N462" s="2" t="s">
        <v>14</v>
      </c>
      <c r="O462">
        <f t="shared" si="7"/>
        <v>1722.74</v>
      </c>
      <c r="P462">
        <f>O462-(O462*M462/100)</f>
        <v>1378.192</v>
      </c>
    </row>
    <row r="463" spans="5:16" x14ac:dyDescent="0.25">
      <c r="E463" s="2">
        <v>10461</v>
      </c>
      <c r="F463" s="8">
        <v>45932</v>
      </c>
      <c r="G463" s="2" t="s">
        <v>15</v>
      </c>
      <c r="H463" s="2" t="s">
        <v>37</v>
      </c>
      <c r="I463" s="2" t="s">
        <v>12</v>
      </c>
      <c r="J463" s="2" t="s">
        <v>56</v>
      </c>
      <c r="K463" s="2">
        <v>12</v>
      </c>
      <c r="L463" s="2">
        <v>4846.67</v>
      </c>
      <c r="M463" s="2">
        <v>10</v>
      </c>
      <c r="N463" s="2" t="s">
        <v>26</v>
      </c>
      <c r="O463">
        <f t="shared" si="7"/>
        <v>58160.04</v>
      </c>
      <c r="P463">
        <f>O463-(O463*M463/100)</f>
        <v>52344.036</v>
      </c>
    </row>
    <row r="464" spans="5:16" x14ac:dyDescent="0.25">
      <c r="E464" s="2">
        <v>10462</v>
      </c>
      <c r="F464" s="8">
        <v>45867</v>
      </c>
      <c r="G464" s="2" t="s">
        <v>20</v>
      </c>
      <c r="H464" s="2" t="s">
        <v>51</v>
      </c>
      <c r="I464" s="2" t="s">
        <v>40</v>
      </c>
      <c r="J464" s="2" t="s">
        <v>46</v>
      </c>
      <c r="K464" s="2">
        <v>5</v>
      </c>
      <c r="L464" s="2">
        <v>2206.3200000000002</v>
      </c>
      <c r="M464" s="2">
        <v>0</v>
      </c>
      <c r="N464" s="2" t="s">
        <v>30</v>
      </c>
      <c r="O464">
        <f t="shared" si="7"/>
        <v>11031.6</v>
      </c>
      <c r="P464">
        <f>O464-(O464*M464/100)</f>
        <v>11031.6</v>
      </c>
    </row>
    <row r="465" spans="5:16" x14ac:dyDescent="0.25">
      <c r="E465" s="2">
        <v>10463</v>
      </c>
      <c r="F465" s="8">
        <v>45841</v>
      </c>
      <c r="G465" s="2" t="s">
        <v>10</v>
      </c>
      <c r="H465" s="2" t="s">
        <v>45</v>
      </c>
      <c r="I465" s="2" t="s">
        <v>34</v>
      </c>
      <c r="J465" s="2" t="s">
        <v>44</v>
      </c>
      <c r="K465" s="2">
        <v>13</v>
      </c>
      <c r="L465" s="2">
        <v>77.36</v>
      </c>
      <c r="M465" s="2">
        <v>10</v>
      </c>
      <c r="N465" s="2" t="s">
        <v>30</v>
      </c>
      <c r="O465">
        <f t="shared" si="7"/>
        <v>1005.68</v>
      </c>
      <c r="P465">
        <f>O465-(O465*M465/100)</f>
        <v>905.11199999999997</v>
      </c>
    </row>
    <row r="466" spans="5:16" x14ac:dyDescent="0.25">
      <c r="E466" s="2">
        <v>10464</v>
      </c>
      <c r="F466" s="8">
        <v>45866</v>
      </c>
      <c r="G466" s="2" t="s">
        <v>39</v>
      </c>
      <c r="H466" s="2" t="s">
        <v>52</v>
      </c>
      <c r="I466" s="2" t="s">
        <v>34</v>
      </c>
      <c r="J466" s="2" t="s">
        <v>44</v>
      </c>
      <c r="K466" s="2">
        <v>16</v>
      </c>
      <c r="L466" s="2">
        <v>325.32</v>
      </c>
      <c r="M466" s="2">
        <v>10</v>
      </c>
      <c r="N466" s="2" t="s">
        <v>30</v>
      </c>
      <c r="O466">
        <f t="shared" si="7"/>
        <v>5205.12</v>
      </c>
      <c r="P466">
        <f>O466-(O466*M466/100)</f>
        <v>4684.6080000000002</v>
      </c>
    </row>
    <row r="467" spans="5:16" x14ac:dyDescent="0.25">
      <c r="E467" s="2">
        <v>10465</v>
      </c>
      <c r="F467" s="8">
        <v>45841</v>
      </c>
      <c r="G467" s="2" t="s">
        <v>32</v>
      </c>
      <c r="H467" s="2" t="s">
        <v>51</v>
      </c>
      <c r="I467" s="2" t="s">
        <v>40</v>
      </c>
      <c r="J467" s="2" t="s">
        <v>41</v>
      </c>
      <c r="K467" s="2">
        <v>5</v>
      </c>
      <c r="L467" s="2">
        <v>3779.31</v>
      </c>
      <c r="M467" s="2">
        <v>20</v>
      </c>
      <c r="N467" s="2" t="s">
        <v>23</v>
      </c>
      <c r="O467">
        <f t="shared" si="7"/>
        <v>18896.55</v>
      </c>
      <c r="P467">
        <f>O467-(O467*M467/100)</f>
        <v>15117.24</v>
      </c>
    </row>
    <row r="468" spans="5:16" x14ac:dyDescent="0.25">
      <c r="E468" s="2">
        <v>10466</v>
      </c>
      <c r="F468" s="8">
        <v>45796</v>
      </c>
      <c r="G468" s="2" t="s">
        <v>24</v>
      </c>
      <c r="H468" s="2" t="s">
        <v>47</v>
      </c>
      <c r="I468" s="2" t="s">
        <v>17</v>
      </c>
      <c r="J468" s="2" t="s">
        <v>28</v>
      </c>
      <c r="K468" s="2">
        <v>6</v>
      </c>
      <c r="L468" s="2">
        <v>1546.44</v>
      </c>
      <c r="M468" s="2">
        <v>20</v>
      </c>
      <c r="N468" s="2" t="s">
        <v>14</v>
      </c>
      <c r="O468">
        <f t="shared" si="7"/>
        <v>9278.64</v>
      </c>
      <c r="P468">
        <f>O468-(O468*M468/100)</f>
        <v>7422.9119999999994</v>
      </c>
    </row>
    <row r="469" spans="5:16" x14ac:dyDescent="0.25">
      <c r="E469" s="2">
        <v>10467</v>
      </c>
      <c r="F469" s="8">
        <v>45858</v>
      </c>
      <c r="G469" s="2" t="s">
        <v>48</v>
      </c>
      <c r="H469" s="2" t="s">
        <v>25</v>
      </c>
      <c r="I469" s="2" t="s">
        <v>17</v>
      </c>
      <c r="J469" s="2" t="s">
        <v>18</v>
      </c>
      <c r="K469" s="2">
        <v>8</v>
      </c>
      <c r="L469" s="2">
        <v>3968.93</v>
      </c>
      <c r="M469" s="2">
        <v>10</v>
      </c>
      <c r="N469" s="2" t="s">
        <v>23</v>
      </c>
      <c r="O469">
        <f t="shared" si="7"/>
        <v>31751.439999999999</v>
      </c>
      <c r="P469">
        <f>O469-(O469*M469/100)</f>
        <v>28576.295999999998</v>
      </c>
    </row>
    <row r="470" spans="5:16" x14ac:dyDescent="0.25">
      <c r="E470" s="2">
        <v>10468</v>
      </c>
      <c r="F470" s="8">
        <v>45845</v>
      </c>
      <c r="G470" s="2" t="s">
        <v>39</v>
      </c>
      <c r="H470" s="2" t="s">
        <v>11</v>
      </c>
      <c r="I470" s="2" t="s">
        <v>12</v>
      </c>
      <c r="J470" s="2" t="s">
        <v>13</v>
      </c>
      <c r="K470" s="2">
        <v>8</v>
      </c>
      <c r="L470" s="2">
        <v>2224.2399999999998</v>
      </c>
      <c r="M470" s="2">
        <v>15</v>
      </c>
      <c r="N470" s="2" t="s">
        <v>19</v>
      </c>
      <c r="O470">
        <f t="shared" si="7"/>
        <v>17793.919999999998</v>
      </c>
      <c r="P470">
        <f>O470-(O470*M470/100)</f>
        <v>15124.831999999999</v>
      </c>
    </row>
    <row r="471" spans="5:16" x14ac:dyDescent="0.25">
      <c r="E471" s="2">
        <v>10469</v>
      </c>
      <c r="F471" s="8">
        <v>45878</v>
      </c>
      <c r="G471" s="2" t="s">
        <v>48</v>
      </c>
      <c r="H471" s="2" t="s">
        <v>21</v>
      </c>
      <c r="I471" s="2" t="s">
        <v>12</v>
      </c>
      <c r="J471" s="2" t="s">
        <v>33</v>
      </c>
      <c r="K471" s="2">
        <v>20</v>
      </c>
      <c r="L471" s="2">
        <v>880.96</v>
      </c>
      <c r="M471" s="2">
        <v>15</v>
      </c>
      <c r="N471" s="2" t="s">
        <v>30</v>
      </c>
      <c r="O471">
        <f t="shared" si="7"/>
        <v>17619.2</v>
      </c>
      <c r="P471">
        <f>O471-(O471*M471/100)</f>
        <v>14976.32</v>
      </c>
    </row>
    <row r="472" spans="5:16" x14ac:dyDescent="0.25">
      <c r="E472" s="2">
        <v>10470</v>
      </c>
      <c r="F472" s="8">
        <v>45786</v>
      </c>
      <c r="G472" s="2" t="s">
        <v>24</v>
      </c>
      <c r="H472" s="2" t="s">
        <v>21</v>
      </c>
      <c r="I472" s="2" t="s">
        <v>34</v>
      </c>
      <c r="J472" s="2" t="s">
        <v>50</v>
      </c>
      <c r="K472" s="2">
        <v>6</v>
      </c>
      <c r="L472" s="2">
        <v>154.31</v>
      </c>
      <c r="M472" s="2">
        <v>10</v>
      </c>
      <c r="N472" s="2" t="s">
        <v>26</v>
      </c>
      <c r="O472">
        <f t="shared" si="7"/>
        <v>925.86</v>
      </c>
      <c r="P472">
        <f>O472-(O472*M472/100)</f>
        <v>833.274</v>
      </c>
    </row>
    <row r="473" spans="5:16" x14ac:dyDescent="0.25">
      <c r="E473" s="2">
        <v>10471</v>
      </c>
      <c r="F473" s="8">
        <v>45899</v>
      </c>
      <c r="G473" s="2" t="s">
        <v>15</v>
      </c>
      <c r="H473" s="2" t="s">
        <v>37</v>
      </c>
      <c r="I473" s="2" t="s">
        <v>17</v>
      </c>
      <c r="J473" s="2" t="s">
        <v>28</v>
      </c>
      <c r="K473" s="2">
        <v>8</v>
      </c>
      <c r="L473" s="2">
        <v>1505.08</v>
      </c>
      <c r="M473" s="2">
        <v>0</v>
      </c>
      <c r="N473" s="2" t="s">
        <v>14</v>
      </c>
      <c r="O473">
        <f t="shared" si="7"/>
        <v>12040.64</v>
      </c>
      <c r="P473">
        <f>O473-(O473*M473/100)</f>
        <v>12040.64</v>
      </c>
    </row>
    <row r="474" spans="5:16" x14ac:dyDescent="0.25">
      <c r="E474" s="2">
        <v>10472</v>
      </c>
      <c r="F474" s="8">
        <v>45929</v>
      </c>
      <c r="G474" s="2" t="s">
        <v>15</v>
      </c>
      <c r="H474" s="2" t="s">
        <v>52</v>
      </c>
      <c r="I474" s="2" t="s">
        <v>34</v>
      </c>
      <c r="J474" s="2" t="s">
        <v>44</v>
      </c>
      <c r="K474" s="2">
        <v>3</v>
      </c>
      <c r="L474" s="2">
        <v>2055.4499999999998</v>
      </c>
      <c r="M474" s="2">
        <v>10</v>
      </c>
      <c r="N474" s="2" t="s">
        <v>23</v>
      </c>
      <c r="O474">
        <f t="shared" si="7"/>
        <v>6166.3499999999995</v>
      </c>
      <c r="P474">
        <f>O474-(O474*M474/100)</f>
        <v>5549.7149999999992</v>
      </c>
    </row>
    <row r="475" spans="5:16" x14ac:dyDescent="0.25">
      <c r="E475" s="2">
        <v>10473</v>
      </c>
      <c r="F475" s="8">
        <v>45967</v>
      </c>
      <c r="G475" s="2" t="s">
        <v>24</v>
      </c>
      <c r="H475" s="2" t="s">
        <v>45</v>
      </c>
      <c r="I475" s="2" t="s">
        <v>17</v>
      </c>
      <c r="J475" s="2" t="s">
        <v>18</v>
      </c>
      <c r="K475" s="2">
        <v>19</v>
      </c>
      <c r="L475" s="2">
        <v>3909.86</v>
      </c>
      <c r="M475" s="2">
        <v>15</v>
      </c>
      <c r="N475" s="2" t="s">
        <v>14</v>
      </c>
      <c r="O475">
        <f t="shared" si="7"/>
        <v>74287.34</v>
      </c>
      <c r="P475">
        <f>O475-(O475*M475/100)</f>
        <v>63144.239000000001</v>
      </c>
    </row>
    <row r="476" spans="5:16" x14ac:dyDescent="0.25">
      <c r="E476" s="2">
        <v>10474</v>
      </c>
      <c r="F476" s="8">
        <v>45659</v>
      </c>
      <c r="G476" s="2" t="s">
        <v>42</v>
      </c>
      <c r="H476" s="2" t="s">
        <v>37</v>
      </c>
      <c r="I476" s="2" t="s">
        <v>17</v>
      </c>
      <c r="J476" s="2" t="s">
        <v>36</v>
      </c>
      <c r="K476" s="2">
        <v>17</v>
      </c>
      <c r="L476" s="2">
        <v>1519.29</v>
      </c>
      <c r="M476" s="2">
        <v>0</v>
      </c>
      <c r="N476" s="2" t="s">
        <v>14</v>
      </c>
      <c r="O476">
        <f t="shared" si="7"/>
        <v>25827.93</v>
      </c>
      <c r="P476">
        <f>O476-(O476*M476/100)</f>
        <v>25827.93</v>
      </c>
    </row>
    <row r="477" spans="5:16" x14ac:dyDescent="0.25">
      <c r="E477" s="2">
        <v>10475</v>
      </c>
      <c r="F477" s="8">
        <v>45996</v>
      </c>
      <c r="G477" s="2" t="s">
        <v>31</v>
      </c>
      <c r="H477" s="2" t="s">
        <v>37</v>
      </c>
      <c r="I477" s="2" t="s">
        <v>40</v>
      </c>
      <c r="J477" s="2" t="s">
        <v>53</v>
      </c>
      <c r="K477" s="2">
        <v>5</v>
      </c>
      <c r="L477" s="2">
        <v>565.51</v>
      </c>
      <c r="M477" s="2">
        <v>5</v>
      </c>
      <c r="N477" s="2" t="s">
        <v>23</v>
      </c>
      <c r="O477">
        <f t="shared" si="7"/>
        <v>2827.55</v>
      </c>
      <c r="P477">
        <f>O477-(O477*M477/100)</f>
        <v>2686.1725000000001</v>
      </c>
    </row>
    <row r="478" spans="5:16" x14ac:dyDescent="0.25">
      <c r="E478" s="2">
        <v>10476</v>
      </c>
      <c r="F478" s="8">
        <v>46005</v>
      </c>
      <c r="G478" s="2" t="s">
        <v>31</v>
      </c>
      <c r="H478" s="2" t="s">
        <v>51</v>
      </c>
      <c r="I478" s="2" t="s">
        <v>40</v>
      </c>
      <c r="J478" s="2" t="s">
        <v>41</v>
      </c>
      <c r="K478" s="2">
        <v>7</v>
      </c>
      <c r="L478" s="2">
        <v>4443.84</v>
      </c>
      <c r="M478" s="2">
        <v>0</v>
      </c>
      <c r="N478" s="2" t="s">
        <v>30</v>
      </c>
      <c r="O478">
        <f t="shared" si="7"/>
        <v>31106.880000000001</v>
      </c>
      <c r="P478">
        <f>O478-(O478*M478/100)</f>
        <v>31106.880000000001</v>
      </c>
    </row>
    <row r="479" spans="5:16" x14ac:dyDescent="0.25">
      <c r="E479" s="2">
        <v>10477</v>
      </c>
      <c r="F479" s="8">
        <v>45731</v>
      </c>
      <c r="G479" s="2" t="s">
        <v>24</v>
      </c>
      <c r="H479" s="2" t="s">
        <v>47</v>
      </c>
      <c r="I479" s="2" t="s">
        <v>40</v>
      </c>
      <c r="J479" s="2" t="s">
        <v>49</v>
      </c>
      <c r="K479" s="2">
        <v>9</v>
      </c>
      <c r="L479" s="2">
        <v>3308.58</v>
      </c>
      <c r="M479" s="2">
        <v>15</v>
      </c>
      <c r="N479" s="2" t="s">
        <v>26</v>
      </c>
      <c r="O479">
        <f t="shared" si="7"/>
        <v>29777.22</v>
      </c>
      <c r="P479">
        <f>O479-(O479*M479/100)</f>
        <v>25310.637000000002</v>
      </c>
    </row>
    <row r="480" spans="5:16" x14ac:dyDescent="0.25">
      <c r="E480" s="2">
        <v>10478</v>
      </c>
      <c r="F480" s="8">
        <v>45664</v>
      </c>
      <c r="G480" s="2" t="s">
        <v>27</v>
      </c>
      <c r="H480" s="2" t="s">
        <v>52</v>
      </c>
      <c r="I480" s="2" t="s">
        <v>12</v>
      </c>
      <c r="J480" s="2" t="s">
        <v>13</v>
      </c>
      <c r="K480" s="2">
        <v>10</v>
      </c>
      <c r="L480" s="2">
        <v>4146.09</v>
      </c>
      <c r="M480" s="2">
        <v>5</v>
      </c>
      <c r="N480" s="2" t="s">
        <v>23</v>
      </c>
      <c r="O480">
        <f t="shared" si="7"/>
        <v>41460.9</v>
      </c>
      <c r="P480">
        <f>O480-(O480*M480/100)</f>
        <v>39387.855000000003</v>
      </c>
    </row>
    <row r="481" spans="5:16" x14ac:dyDescent="0.25">
      <c r="E481" s="2">
        <v>10479</v>
      </c>
      <c r="F481" s="8">
        <v>45700</v>
      </c>
      <c r="G481" s="2" t="s">
        <v>20</v>
      </c>
      <c r="H481" s="2" t="s">
        <v>45</v>
      </c>
      <c r="I481" s="2" t="s">
        <v>17</v>
      </c>
      <c r="J481" s="2" t="s">
        <v>28</v>
      </c>
      <c r="K481" s="2">
        <v>15</v>
      </c>
      <c r="L481" s="2">
        <v>3917.53</v>
      </c>
      <c r="M481" s="2">
        <v>15</v>
      </c>
      <c r="N481" s="2" t="s">
        <v>23</v>
      </c>
      <c r="O481">
        <f t="shared" si="7"/>
        <v>58762.950000000004</v>
      </c>
      <c r="P481">
        <f>O481-(O481*M481/100)</f>
        <v>49948.507500000007</v>
      </c>
    </row>
    <row r="482" spans="5:16" x14ac:dyDescent="0.25">
      <c r="E482" s="2">
        <v>10480</v>
      </c>
      <c r="F482" s="8">
        <v>45717</v>
      </c>
      <c r="G482" s="2" t="s">
        <v>32</v>
      </c>
      <c r="H482" s="2" t="s">
        <v>21</v>
      </c>
      <c r="I482" s="2" t="s">
        <v>17</v>
      </c>
      <c r="J482" s="2" t="s">
        <v>55</v>
      </c>
      <c r="K482" s="2">
        <v>2</v>
      </c>
      <c r="L482" s="2">
        <v>3570.62</v>
      </c>
      <c r="M482" s="2">
        <v>5</v>
      </c>
      <c r="N482" s="2" t="s">
        <v>26</v>
      </c>
      <c r="O482">
        <f t="shared" si="7"/>
        <v>7141.24</v>
      </c>
      <c r="P482">
        <f>O482-(O482*M482/100)</f>
        <v>6784.1779999999999</v>
      </c>
    </row>
    <row r="483" spans="5:16" x14ac:dyDescent="0.25">
      <c r="E483" s="2">
        <v>10481</v>
      </c>
      <c r="F483" s="8">
        <v>45951</v>
      </c>
      <c r="G483" s="2" t="s">
        <v>32</v>
      </c>
      <c r="H483" s="2" t="s">
        <v>21</v>
      </c>
      <c r="I483" s="2" t="s">
        <v>17</v>
      </c>
      <c r="J483" s="2" t="s">
        <v>28</v>
      </c>
      <c r="K483" s="2">
        <v>7</v>
      </c>
      <c r="L483" s="2">
        <v>3021.64</v>
      </c>
      <c r="M483" s="2">
        <v>15</v>
      </c>
      <c r="N483" s="2" t="s">
        <v>30</v>
      </c>
      <c r="O483">
        <f t="shared" si="7"/>
        <v>21151.48</v>
      </c>
      <c r="P483">
        <f>O483-(O483*M483/100)</f>
        <v>17978.757999999998</v>
      </c>
    </row>
    <row r="484" spans="5:16" x14ac:dyDescent="0.25">
      <c r="E484" s="2">
        <v>10482</v>
      </c>
      <c r="F484" s="8">
        <v>45906</v>
      </c>
      <c r="G484" s="2" t="s">
        <v>31</v>
      </c>
      <c r="H484" s="2" t="s">
        <v>47</v>
      </c>
      <c r="I484" s="2" t="s">
        <v>12</v>
      </c>
      <c r="J484" s="2" t="s">
        <v>33</v>
      </c>
      <c r="K484" s="2">
        <v>15</v>
      </c>
      <c r="L484" s="2">
        <v>3536.32</v>
      </c>
      <c r="M484" s="2">
        <v>5</v>
      </c>
      <c r="N484" s="2" t="s">
        <v>14</v>
      </c>
      <c r="O484">
        <f t="shared" si="7"/>
        <v>53044.800000000003</v>
      </c>
      <c r="P484">
        <f>O484-(O484*M484/100)</f>
        <v>50392.560000000005</v>
      </c>
    </row>
    <row r="485" spans="5:16" x14ac:dyDescent="0.25">
      <c r="E485" s="2">
        <v>10483</v>
      </c>
      <c r="F485" s="8">
        <v>45743</v>
      </c>
      <c r="G485" s="2" t="s">
        <v>27</v>
      </c>
      <c r="H485" s="2" t="s">
        <v>37</v>
      </c>
      <c r="I485" s="2" t="s">
        <v>12</v>
      </c>
      <c r="J485" s="2" t="s">
        <v>22</v>
      </c>
      <c r="K485" s="2">
        <v>14</v>
      </c>
      <c r="L485" s="2">
        <v>465.25</v>
      </c>
      <c r="M485" s="2">
        <v>15</v>
      </c>
      <c r="N485" s="2" t="s">
        <v>19</v>
      </c>
      <c r="O485">
        <f t="shared" si="7"/>
        <v>6513.5</v>
      </c>
      <c r="P485">
        <f>O485-(O485*M485/100)</f>
        <v>5536.4750000000004</v>
      </c>
    </row>
    <row r="486" spans="5:16" x14ac:dyDescent="0.25">
      <c r="E486" s="2">
        <v>10484</v>
      </c>
      <c r="F486" s="8">
        <v>45877</v>
      </c>
      <c r="G486" s="2" t="s">
        <v>15</v>
      </c>
      <c r="H486" s="2" t="s">
        <v>47</v>
      </c>
      <c r="I486" s="2" t="s">
        <v>12</v>
      </c>
      <c r="J486" s="2" t="s">
        <v>13</v>
      </c>
      <c r="K486" s="2">
        <v>6</v>
      </c>
      <c r="L486" s="2">
        <v>2790.56</v>
      </c>
      <c r="M486" s="2">
        <v>20</v>
      </c>
      <c r="N486" s="2" t="s">
        <v>23</v>
      </c>
      <c r="O486">
        <f t="shared" si="7"/>
        <v>16743.36</v>
      </c>
      <c r="P486">
        <f>O486-(O486*M486/100)</f>
        <v>13394.688</v>
      </c>
    </row>
    <row r="487" spans="5:16" x14ac:dyDescent="0.25">
      <c r="E487" s="2">
        <v>10485</v>
      </c>
      <c r="F487" s="8">
        <v>45944</v>
      </c>
      <c r="G487" s="2" t="s">
        <v>20</v>
      </c>
      <c r="H487" s="2" t="s">
        <v>45</v>
      </c>
      <c r="I487" s="2" t="s">
        <v>12</v>
      </c>
      <c r="J487" s="2" t="s">
        <v>22</v>
      </c>
      <c r="K487" s="2">
        <v>2</v>
      </c>
      <c r="L487" s="2">
        <v>3138.96</v>
      </c>
      <c r="M487" s="2">
        <v>0</v>
      </c>
      <c r="N487" s="2" t="s">
        <v>30</v>
      </c>
      <c r="O487">
        <f t="shared" si="7"/>
        <v>6277.92</v>
      </c>
      <c r="P487">
        <f>O487-(O487*M487/100)</f>
        <v>6277.92</v>
      </c>
    </row>
    <row r="488" spans="5:16" x14ac:dyDescent="0.25">
      <c r="E488" s="2">
        <v>10486</v>
      </c>
      <c r="F488" s="8">
        <v>45790</v>
      </c>
      <c r="G488" s="2" t="s">
        <v>31</v>
      </c>
      <c r="H488" s="2" t="s">
        <v>51</v>
      </c>
      <c r="I488" s="2" t="s">
        <v>40</v>
      </c>
      <c r="J488" s="2" t="s">
        <v>49</v>
      </c>
      <c r="K488" s="2">
        <v>18</v>
      </c>
      <c r="L488" s="2">
        <v>1364.35</v>
      </c>
      <c r="M488" s="2">
        <v>5</v>
      </c>
      <c r="N488" s="2" t="s">
        <v>26</v>
      </c>
      <c r="O488">
        <f t="shared" si="7"/>
        <v>24558.3</v>
      </c>
      <c r="P488">
        <f>O488-(O488*M488/100)</f>
        <v>23330.384999999998</v>
      </c>
    </row>
    <row r="489" spans="5:16" x14ac:dyDescent="0.25">
      <c r="E489" s="2">
        <v>10487</v>
      </c>
      <c r="F489" s="8">
        <v>45909</v>
      </c>
      <c r="G489" s="2" t="s">
        <v>48</v>
      </c>
      <c r="H489" s="2" t="s">
        <v>51</v>
      </c>
      <c r="I489" s="2" t="s">
        <v>34</v>
      </c>
      <c r="J489" s="2" t="s">
        <v>38</v>
      </c>
      <c r="K489" s="2">
        <v>3</v>
      </c>
      <c r="L489" s="2">
        <v>1388.14</v>
      </c>
      <c r="M489" s="2">
        <v>5</v>
      </c>
      <c r="N489" s="2" t="s">
        <v>26</v>
      </c>
      <c r="O489">
        <f t="shared" si="7"/>
        <v>4164.42</v>
      </c>
      <c r="P489">
        <f>O489-(O489*M489/100)</f>
        <v>3956.1990000000001</v>
      </c>
    </row>
    <row r="490" spans="5:16" x14ac:dyDescent="0.25">
      <c r="E490" s="2">
        <v>10488</v>
      </c>
      <c r="F490" s="8">
        <v>46010</v>
      </c>
      <c r="G490" s="2" t="s">
        <v>54</v>
      </c>
      <c r="H490" s="2" t="s">
        <v>51</v>
      </c>
      <c r="I490" s="2" t="s">
        <v>40</v>
      </c>
      <c r="J490" s="2" t="s">
        <v>53</v>
      </c>
      <c r="K490" s="2">
        <v>7</v>
      </c>
      <c r="L490" s="2">
        <v>4834.97</v>
      </c>
      <c r="M490" s="2">
        <v>0</v>
      </c>
      <c r="N490" s="2" t="s">
        <v>23</v>
      </c>
      <c r="O490">
        <f t="shared" si="7"/>
        <v>33844.79</v>
      </c>
      <c r="P490">
        <f>O490-(O490*M490/100)</f>
        <v>33844.79</v>
      </c>
    </row>
    <row r="491" spans="5:16" x14ac:dyDescent="0.25">
      <c r="E491" s="2">
        <v>10489</v>
      </c>
      <c r="F491" s="8">
        <v>46005</v>
      </c>
      <c r="G491" s="2" t="s">
        <v>24</v>
      </c>
      <c r="H491" s="2" t="s">
        <v>21</v>
      </c>
      <c r="I491" s="2" t="s">
        <v>40</v>
      </c>
      <c r="J491" s="2" t="s">
        <v>41</v>
      </c>
      <c r="K491" s="2">
        <v>11</v>
      </c>
      <c r="L491" s="2">
        <v>1507.25</v>
      </c>
      <c r="M491" s="2">
        <v>5</v>
      </c>
      <c r="N491" s="2" t="s">
        <v>26</v>
      </c>
      <c r="O491">
        <f t="shared" si="7"/>
        <v>16579.75</v>
      </c>
      <c r="P491">
        <f>O491-(O491*M491/100)</f>
        <v>15750.762500000001</v>
      </c>
    </row>
    <row r="492" spans="5:16" x14ac:dyDescent="0.25">
      <c r="E492" s="2">
        <v>10490</v>
      </c>
      <c r="F492" s="8">
        <v>45747</v>
      </c>
      <c r="G492" s="2" t="s">
        <v>39</v>
      </c>
      <c r="H492" s="2" t="s">
        <v>21</v>
      </c>
      <c r="I492" s="2" t="s">
        <v>17</v>
      </c>
      <c r="J492" s="2" t="s">
        <v>28</v>
      </c>
      <c r="K492" s="2">
        <v>7</v>
      </c>
      <c r="L492" s="2">
        <v>3106.84</v>
      </c>
      <c r="M492" s="2">
        <v>15</v>
      </c>
      <c r="N492" s="2" t="s">
        <v>23</v>
      </c>
      <c r="O492">
        <f t="shared" si="7"/>
        <v>21747.88</v>
      </c>
      <c r="P492">
        <f>O492-(O492*M492/100)</f>
        <v>18485.698</v>
      </c>
    </row>
    <row r="493" spans="5:16" x14ac:dyDescent="0.25">
      <c r="E493" s="2">
        <v>10491</v>
      </c>
      <c r="F493" s="8">
        <v>45804</v>
      </c>
      <c r="G493" s="2" t="s">
        <v>48</v>
      </c>
      <c r="H493" s="2" t="s">
        <v>11</v>
      </c>
      <c r="I493" s="2" t="s">
        <v>34</v>
      </c>
      <c r="J493" s="2" t="s">
        <v>44</v>
      </c>
      <c r="K493" s="2">
        <v>5</v>
      </c>
      <c r="L493" s="2">
        <v>4412.41</v>
      </c>
      <c r="M493" s="2">
        <v>10</v>
      </c>
      <c r="N493" s="2" t="s">
        <v>14</v>
      </c>
      <c r="O493">
        <f t="shared" si="7"/>
        <v>22062.05</v>
      </c>
      <c r="P493">
        <f>O493-(O493*M493/100)</f>
        <v>19855.845000000001</v>
      </c>
    </row>
    <row r="494" spans="5:16" x14ac:dyDescent="0.25">
      <c r="E494" s="2">
        <v>10492</v>
      </c>
      <c r="F494" s="8">
        <v>45913</v>
      </c>
      <c r="G494" s="2" t="s">
        <v>10</v>
      </c>
      <c r="H494" s="2" t="s">
        <v>47</v>
      </c>
      <c r="I494" s="2" t="s">
        <v>40</v>
      </c>
      <c r="J494" s="2" t="s">
        <v>41</v>
      </c>
      <c r="K494" s="2">
        <v>1</v>
      </c>
      <c r="L494" s="2">
        <v>953.08</v>
      </c>
      <c r="M494" s="2">
        <v>5</v>
      </c>
      <c r="N494" s="2" t="s">
        <v>19</v>
      </c>
      <c r="O494">
        <f t="shared" si="7"/>
        <v>953.08</v>
      </c>
      <c r="P494">
        <f>O494-(O494*M494/100)</f>
        <v>905.42600000000004</v>
      </c>
    </row>
    <row r="495" spans="5:16" x14ac:dyDescent="0.25">
      <c r="E495" s="2">
        <v>10493</v>
      </c>
      <c r="F495" s="8">
        <v>45693</v>
      </c>
      <c r="G495" s="2" t="s">
        <v>31</v>
      </c>
      <c r="H495" s="2" t="s">
        <v>45</v>
      </c>
      <c r="I495" s="2" t="s">
        <v>34</v>
      </c>
      <c r="J495" s="2" t="s">
        <v>44</v>
      </c>
      <c r="K495" s="2">
        <v>4</v>
      </c>
      <c r="L495" s="2">
        <v>859.44</v>
      </c>
      <c r="M495" s="2">
        <v>15</v>
      </c>
      <c r="N495" s="2" t="s">
        <v>19</v>
      </c>
      <c r="O495">
        <f t="shared" si="7"/>
        <v>3437.76</v>
      </c>
      <c r="P495">
        <f>O495-(O495*M495/100)</f>
        <v>2922.0960000000005</v>
      </c>
    </row>
    <row r="496" spans="5:16" x14ac:dyDescent="0.25">
      <c r="E496" s="2">
        <v>10494</v>
      </c>
      <c r="F496" s="8">
        <v>45876</v>
      </c>
      <c r="G496" s="2" t="s">
        <v>43</v>
      </c>
      <c r="H496" s="2" t="s">
        <v>16</v>
      </c>
      <c r="I496" s="2" t="s">
        <v>34</v>
      </c>
      <c r="J496" s="2" t="s">
        <v>44</v>
      </c>
      <c r="K496" s="2">
        <v>15</v>
      </c>
      <c r="L496" s="2">
        <v>4903.68</v>
      </c>
      <c r="M496" s="2">
        <v>15</v>
      </c>
      <c r="N496" s="2" t="s">
        <v>23</v>
      </c>
      <c r="O496">
        <f t="shared" si="7"/>
        <v>73555.200000000012</v>
      </c>
      <c r="P496">
        <f>O496-(O496*M496/100)</f>
        <v>62521.920000000013</v>
      </c>
    </row>
    <row r="497" spans="5:16" x14ac:dyDescent="0.25">
      <c r="E497" s="2">
        <v>10495</v>
      </c>
      <c r="F497" s="8">
        <v>45761</v>
      </c>
      <c r="G497" s="2" t="s">
        <v>39</v>
      </c>
      <c r="H497" s="2" t="s">
        <v>51</v>
      </c>
      <c r="I497" s="2" t="s">
        <v>34</v>
      </c>
      <c r="J497" s="2" t="s">
        <v>38</v>
      </c>
      <c r="K497" s="2">
        <v>2</v>
      </c>
      <c r="L497" s="2">
        <v>270.23</v>
      </c>
      <c r="M497" s="2">
        <v>5</v>
      </c>
      <c r="N497" s="2" t="s">
        <v>19</v>
      </c>
      <c r="O497">
        <f t="shared" si="7"/>
        <v>540.46</v>
      </c>
      <c r="P497">
        <f>O497-(O497*M497/100)</f>
        <v>513.43700000000001</v>
      </c>
    </row>
    <row r="498" spans="5:16" x14ac:dyDescent="0.25">
      <c r="E498" s="2">
        <v>10496</v>
      </c>
      <c r="F498" s="8">
        <v>45892</v>
      </c>
      <c r="G498" s="2" t="s">
        <v>31</v>
      </c>
      <c r="H498" s="2" t="s">
        <v>11</v>
      </c>
      <c r="I498" s="2" t="s">
        <v>34</v>
      </c>
      <c r="J498" s="2" t="s">
        <v>38</v>
      </c>
      <c r="K498" s="2">
        <v>9</v>
      </c>
      <c r="L498" s="2">
        <v>1500.28</v>
      </c>
      <c r="M498" s="2">
        <v>15</v>
      </c>
      <c r="N498" s="2" t="s">
        <v>30</v>
      </c>
      <c r="O498">
        <f t="shared" si="7"/>
        <v>13502.52</v>
      </c>
      <c r="P498">
        <f>O498-(O498*M498/100)</f>
        <v>11477.142</v>
      </c>
    </row>
    <row r="499" spans="5:16" x14ac:dyDescent="0.25">
      <c r="E499" s="2">
        <v>10497</v>
      </c>
      <c r="F499" s="8">
        <v>45940</v>
      </c>
      <c r="G499" s="2" t="s">
        <v>43</v>
      </c>
      <c r="H499" s="2" t="s">
        <v>25</v>
      </c>
      <c r="I499" s="2" t="s">
        <v>17</v>
      </c>
      <c r="J499" s="2" t="s">
        <v>55</v>
      </c>
      <c r="K499" s="2">
        <v>6</v>
      </c>
      <c r="L499" s="2">
        <v>4798.87</v>
      </c>
      <c r="M499" s="2">
        <v>10</v>
      </c>
      <c r="N499" s="2" t="s">
        <v>19</v>
      </c>
      <c r="O499">
        <f t="shared" si="7"/>
        <v>28793.22</v>
      </c>
      <c r="P499">
        <f>O499-(O499*M499/100)</f>
        <v>25913.898000000001</v>
      </c>
    </row>
    <row r="500" spans="5:16" x14ac:dyDescent="0.25">
      <c r="E500" s="2">
        <v>10498</v>
      </c>
      <c r="F500" s="8">
        <v>45907</v>
      </c>
      <c r="G500" s="2" t="s">
        <v>20</v>
      </c>
      <c r="H500" s="2" t="s">
        <v>45</v>
      </c>
      <c r="I500" s="2" t="s">
        <v>40</v>
      </c>
      <c r="J500" s="2" t="s">
        <v>53</v>
      </c>
      <c r="K500" s="2">
        <v>12</v>
      </c>
      <c r="L500" s="2">
        <v>3139.27</v>
      </c>
      <c r="M500" s="2">
        <v>10</v>
      </c>
      <c r="N500" s="2" t="s">
        <v>14</v>
      </c>
      <c r="O500">
        <f t="shared" si="7"/>
        <v>37671.24</v>
      </c>
      <c r="P500">
        <f>O500-(O500*M500/100)</f>
        <v>33904.115999999995</v>
      </c>
    </row>
    <row r="501" spans="5:16" x14ac:dyDescent="0.25">
      <c r="E501" s="2">
        <v>10499</v>
      </c>
      <c r="F501" s="8">
        <v>45668</v>
      </c>
      <c r="G501" s="2" t="s">
        <v>39</v>
      </c>
      <c r="H501" s="2" t="s">
        <v>21</v>
      </c>
      <c r="I501" s="2" t="s">
        <v>34</v>
      </c>
      <c r="J501" s="2" t="s">
        <v>38</v>
      </c>
      <c r="K501" s="2">
        <v>13</v>
      </c>
      <c r="L501" s="2">
        <v>3212.3</v>
      </c>
      <c r="M501" s="2">
        <v>5</v>
      </c>
      <c r="N501" s="2" t="s">
        <v>23</v>
      </c>
      <c r="O501">
        <f t="shared" si="7"/>
        <v>41759.9</v>
      </c>
      <c r="P501">
        <f>O501-(O501*M501/100)</f>
        <v>39671.904999999999</v>
      </c>
    </row>
    <row r="502" spans="5:16" x14ac:dyDescent="0.25">
      <c r="E502" s="2">
        <v>10500</v>
      </c>
      <c r="F502" s="8">
        <v>45843</v>
      </c>
      <c r="G502" s="2" t="s">
        <v>48</v>
      </c>
      <c r="H502" s="2" t="s">
        <v>52</v>
      </c>
      <c r="I502" s="2" t="s">
        <v>17</v>
      </c>
      <c r="J502" s="2" t="s">
        <v>18</v>
      </c>
      <c r="K502" s="2">
        <v>6</v>
      </c>
      <c r="L502" s="2">
        <v>1258.08</v>
      </c>
      <c r="M502" s="2">
        <v>5</v>
      </c>
      <c r="N502" s="2" t="s">
        <v>23</v>
      </c>
      <c r="O502">
        <f t="shared" si="7"/>
        <v>7548.48</v>
      </c>
      <c r="P502">
        <f>O502-(O502*M502/100)</f>
        <v>7171.0559999999996</v>
      </c>
    </row>
  </sheetData>
  <conditionalFormatting sqref="K1:K1048576">
    <cfRule type="cellIs" dxfId="0" priority="1" operator="greaterThan">
      <formula>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3160-5DF1-4562-9A4F-00032DF5C170}">
  <dimension ref="A3:K15"/>
  <sheetViews>
    <sheetView workbookViewId="0">
      <selection activeCell="K20" sqref="K20"/>
    </sheetView>
  </sheetViews>
  <sheetFormatPr defaultRowHeight="15" x14ac:dyDescent="0.25"/>
  <cols>
    <col min="1" max="1" width="13.85546875" bestFit="1" customWidth="1"/>
    <col min="2" max="2" width="10.7109375" bestFit="1" customWidth="1"/>
    <col min="4" max="4" width="11.28515625" bestFit="1" customWidth="1"/>
    <col min="5" max="5" width="12.140625" bestFit="1" customWidth="1"/>
    <col min="6" max="6" width="11.7109375" bestFit="1" customWidth="1"/>
    <col min="7" max="7" width="13.85546875" bestFit="1" customWidth="1"/>
    <col min="8" max="8" width="15.5703125" bestFit="1" customWidth="1"/>
    <col min="10" max="10" width="11.28515625" bestFit="1" customWidth="1"/>
    <col min="11" max="11" width="10.7109375" bestFit="1" customWidth="1"/>
  </cols>
  <sheetData>
    <row r="3" spans="1:11" x14ac:dyDescent="0.25">
      <c r="A3" s="4" t="s">
        <v>91</v>
      </c>
      <c r="B3" t="s">
        <v>90</v>
      </c>
      <c r="D3" s="4" t="s">
        <v>97</v>
      </c>
      <c r="E3" t="s">
        <v>90</v>
      </c>
      <c r="G3" s="4" t="s">
        <v>97</v>
      </c>
      <c r="H3" t="s">
        <v>95</v>
      </c>
      <c r="J3" s="4" t="s">
        <v>98</v>
      </c>
      <c r="K3" t="s">
        <v>90</v>
      </c>
    </row>
    <row r="4" spans="1:11" x14ac:dyDescent="0.25">
      <c r="A4" s="5" t="s">
        <v>23</v>
      </c>
      <c r="B4" s="6">
        <v>1012</v>
      </c>
      <c r="D4" s="5" t="s">
        <v>17</v>
      </c>
      <c r="E4" s="6">
        <v>1311</v>
      </c>
      <c r="G4" s="5" t="s">
        <v>17</v>
      </c>
      <c r="H4" s="10">
        <v>28150.882713178311</v>
      </c>
      <c r="J4" s="5" t="s">
        <v>21</v>
      </c>
      <c r="K4" s="6">
        <v>601</v>
      </c>
    </row>
    <row r="5" spans="1:11" x14ac:dyDescent="0.25">
      <c r="A5" s="5" t="s">
        <v>19</v>
      </c>
      <c r="B5" s="6">
        <v>1124</v>
      </c>
      <c r="D5" s="5" t="s">
        <v>40</v>
      </c>
      <c r="E5" s="6">
        <v>1093</v>
      </c>
      <c r="G5" s="5" t="s">
        <v>40</v>
      </c>
      <c r="H5" s="10">
        <v>26757.247222222224</v>
      </c>
      <c r="J5" s="5" t="s">
        <v>51</v>
      </c>
      <c r="K5" s="6">
        <v>495</v>
      </c>
    </row>
    <row r="6" spans="1:11" x14ac:dyDescent="0.25">
      <c r="A6" s="5" t="s">
        <v>30</v>
      </c>
      <c r="B6" s="6">
        <v>1083</v>
      </c>
      <c r="D6" s="5" t="s">
        <v>12</v>
      </c>
      <c r="E6" s="6">
        <v>1331</v>
      </c>
      <c r="G6" s="5" t="s">
        <v>12</v>
      </c>
      <c r="H6" s="10">
        <v>27580.842153846144</v>
      </c>
      <c r="J6" s="5" t="s">
        <v>29</v>
      </c>
      <c r="K6" s="6">
        <v>508</v>
      </c>
    </row>
    <row r="7" spans="1:11" x14ac:dyDescent="0.25">
      <c r="A7" s="5" t="s">
        <v>26</v>
      </c>
      <c r="B7" s="6">
        <v>815</v>
      </c>
      <c r="D7" s="5" t="s">
        <v>34</v>
      </c>
      <c r="E7" s="6">
        <v>1476</v>
      </c>
      <c r="G7" s="5" t="s">
        <v>34</v>
      </c>
      <c r="H7" s="10">
        <v>27757.770375939857</v>
      </c>
      <c r="J7" s="5" t="s">
        <v>52</v>
      </c>
      <c r="K7" s="6">
        <v>434</v>
      </c>
    </row>
    <row r="8" spans="1:11" x14ac:dyDescent="0.25">
      <c r="A8" s="5" t="s">
        <v>14</v>
      </c>
      <c r="B8" s="6">
        <v>1177</v>
      </c>
      <c r="D8" s="5" t="s">
        <v>89</v>
      </c>
      <c r="E8" s="6">
        <v>5211</v>
      </c>
      <c r="G8" s="5" t="s">
        <v>89</v>
      </c>
      <c r="H8" s="6">
        <v>27597.079019999965</v>
      </c>
      <c r="J8" s="5" t="s">
        <v>37</v>
      </c>
      <c r="K8" s="6">
        <v>707</v>
      </c>
    </row>
    <row r="9" spans="1:11" x14ac:dyDescent="0.25">
      <c r="A9" s="5" t="s">
        <v>89</v>
      </c>
      <c r="B9" s="6">
        <v>5211</v>
      </c>
      <c r="J9" s="5" t="s">
        <v>47</v>
      </c>
      <c r="K9" s="6">
        <v>517</v>
      </c>
    </row>
    <row r="10" spans="1:11" x14ac:dyDescent="0.25">
      <c r="D10" s="4" t="s">
        <v>97</v>
      </c>
      <c r="E10" t="s">
        <v>99</v>
      </c>
      <c r="J10" s="5" t="s">
        <v>45</v>
      </c>
      <c r="K10" s="6">
        <v>527</v>
      </c>
    </row>
    <row r="11" spans="1:11" x14ac:dyDescent="0.25">
      <c r="A11" s="4" t="s">
        <v>94</v>
      </c>
      <c r="B11" t="s">
        <v>90</v>
      </c>
      <c r="D11" s="5" t="s">
        <v>17</v>
      </c>
      <c r="E11" s="6">
        <v>129</v>
      </c>
      <c r="J11" s="5" t="s">
        <v>16</v>
      </c>
      <c r="K11" s="6">
        <v>492</v>
      </c>
    </row>
    <row r="12" spans="1:11" x14ac:dyDescent="0.25">
      <c r="A12" s="5" t="s">
        <v>92</v>
      </c>
      <c r="B12" s="6">
        <v>361</v>
      </c>
      <c r="D12" s="5" t="s">
        <v>40</v>
      </c>
      <c r="E12" s="6">
        <v>108</v>
      </c>
      <c r="J12" s="5" t="s">
        <v>11</v>
      </c>
      <c r="K12" s="6">
        <v>397</v>
      </c>
    </row>
    <row r="13" spans="1:11" x14ac:dyDescent="0.25">
      <c r="A13" s="5" t="s">
        <v>89</v>
      </c>
      <c r="B13" s="6">
        <v>361</v>
      </c>
      <c r="D13" s="5" t="s">
        <v>12</v>
      </c>
      <c r="E13" s="6">
        <v>130</v>
      </c>
      <c r="J13" s="5" t="s">
        <v>25</v>
      </c>
      <c r="K13" s="6">
        <v>533</v>
      </c>
    </row>
    <row r="14" spans="1:11" x14ac:dyDescent="0.25">
      <c r="D14" s="5" t="s">
        <v>34</v>
      </c>
      <c r="E14" s="6">
        <v>133</v>
      </c>
      <c r="J14" s="5" t="s">
        <v>89</v>
      </c>
      <c r="K14" s="6">
        <v>5211</v>
      </c>
    </row>
    <row r="15" spans="1:11" x14ac:dyDescent="0.25">
      <c r="D15" s="5" t="s">
        <v>89</v>
      </c>
      <c r="E15" s="6">
        <v>500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Questions</vt:lpstr>
      <vt:lpstr>soln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Pandey</cp:lastModifiedBy>
  <dcterms:created xsi:type="dcterms:W3CDTF">2026-07-11T06:25:32Z</dcterms:created>
  <dcterms:modified xsi:type="dcterms:W3CDTF">2026-07-16T06:09:37Z</dcterms:modified>
</cp:coreProperties>
</file>